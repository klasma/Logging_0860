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45637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45637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45637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45637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45637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45637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45637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45637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45637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45637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45637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45637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45637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45637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45637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45637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45637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45637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45637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45637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45637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45637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45637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45637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45637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45637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45637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45637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45637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45637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45637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45637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45637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45637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45637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45637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45637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45637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45637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45637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45637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45637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45637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45637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45637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45637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45637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45637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45637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45637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45637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45637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45637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45637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45637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45637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45637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45637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45637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45637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45637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45637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45637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45637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45637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45637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45637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45637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45637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45637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45637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45637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45637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45637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45637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45637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45637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45637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45637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45637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45637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45637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45637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45637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45637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45637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45637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45637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45637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45637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45637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45637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45637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45637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45637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45637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45637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45637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45637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45637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45637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45637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45637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45637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45637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45637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45637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45637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45637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45637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45637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45637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45637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57052-2024</t>
        </is>
      </c>
      <c r="B115" s="1" t="n">
        <v>45629</v>
      </c>
      <c r="C115" s="1" t="n">
        <v>45637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HYPERLINK("https://klasma.github.io/Logging_0860/artfynd/A 57052-2024 artfynd.xlsx", "A 57052-2024")</f>
        <v/>
      </c>
      <c r="T115">
        <f>HYPERLINK("https://klasma.github.io/Logging_0860/kartor/A 57052-2024 karta.png", "A 57052-2024")</f>
        <v/>
      </c>
      <c r="U115">
        <f>HYPERLINK("https://klasma.github.io/Logging_0860/knärot/A 57052-2024 karta knärot.png", "A 57052-2024")</f>
        <v/>
      </c>
      <c r="V115">
        <f>HYPERLINK("https://klasma.github.io/Logging_0860/klagomål/A 57052-2024 FSC-klagomål.docx", "A 57052-2024")</f>
        <v/>
      </c>
      <c r="W115">
        <f>HYPERLINK("https://klasma.github.io/Logging_0860/klagomålsmail/A 57052-2024 FSC-klagomål mail.docx", "A 57052-2024")</f>
        <v/>
      </c>
      <c r="X115">
        <f>HYPERLINK("https://klasma.github.io/Logging_0860/tillsyn/A 57052-2024 tillsynsbegäran.docx", "A 57052-2024")</f>
        <v/>
      </c>
      <c r="Y115">
        <f>HYPERLINK("https://klasma.github.io/Logging_0860/tillsynsmail/A 57052-2024 tillsynsbegäran mail.docx", "A 57052-2024")</f>
        <v/>
      </c>
    </row>
    <row r="116" ht="15" customHeight="1">
      <c r="A116" t="inlineStr">
        <is>
          <t>A 58470-2024</t>
        </is>
      </c>
      <c r="B116" s="1" t="n">
        <v>45635</v>
      </c>
      <c r="C116" s="1" t="n">
        <v>45637</v>
      </c>
      <c r="D116" t="inlineStr">
        <is>
          <t>KALMAR LÄN</t>
        </is>
      </c>
      <c r="E116" t="inlineStr">
        <is>
          <t>HULTSFRED</t>
        </is>
      </c>
      <c r="G116" t="n">
        <v>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Guldlockmossa</t>
        </is>
      </c>
      <c r="S116">
        <f>HYPERLINK("https://klasma.github.io/Logging_0860/artfynd/A 58470-2024 artfynd.xlsx", "A 58470-2024")</f>
        <v/>
      </c>
      <c r="T116">
        <f>HYPERLINK("https://klasma.github.io/Logging_0860/kartor/A 58470-2024 karta.png", "A 58470-2024")</f>
        <v/>
      </c>
      <c r="V116">
        <f>HYPERLINK("https://klasma.github.io/Logging_0860/klagomål/A 58470-2024 FSC-klagomål.docx", "A 58470-2024")</f>
        <v/>
      </c>
      <c r="W116">
        <f>HYPERLINK("https://klasma.github.io/Logging_0860/klagomålsmail/A 58470-2024 FSC-klagomål mail.docx", "A 58470-2024")</f>
        <v/>
      </c>
      <c r="X116">
        <f>HYPERLINK("https://klasma.github.io/Logging_0860/tillsyn/A 58470-2024 tillsynsbegäran.docx", "A 58470-2024")</f>
        <v/>
      </c>
      <c r="Y116">
        <f>HYPERLINK("https://klasma.github.io/Logging_0860/tillsynsmail/A 58470-2024 tillsynsbegäran mail.docx", "A 58470-2024")</f>
        <v/>
      </c>
    </row>
    <row r="117" ht="15" customHeight="1">
      <c r="A117" t="inlineStr">
        <is>
          <t>A 17715-2019</t>
        </is>
      </c>
      <c r="B117" s="1" t="n">
        <v>43556</v>
      </c>
      <c r="C117" s="1" t="n">
        <v>45637</v>
      </c>
      <c r="D117" t="inlineStr">
        <is>
          <t>KALMAR LÄN</t>
        </is>
      </c>
      <c r="E117" t="inlineStr">
        <is>
          <t>HULTSFRED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18259-2019</t>
        </is>
      </c>
      <c r="B118" s="1" t="n">
        <v>43557</v>
      </c>
      <c r="C118" s="1" t="n">
        <v>45637</v>
      </c>
      <c r="D118" t="inlineStr">
        <is>
          <t>KALMAR LÄN</t>
        </is>
      </c>
      <c r="E118" t="inlineStr">
        <is>
          <t>HULTSFRED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18251-2019</t>
        </is>
      </c>
      <c r="B119" s="1" t="n">
        <v>43558</v>
      </c>
      <c r="C119" s="1" t="n">
        <v>45637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19314-2019</t>
        </is>
      </c>
      <c r="B120" s="1" t="n">
        <v>43565</v>
      </c>
      <c r="C120" s="1" t="n">
        <v>45637</v>
      </c>
      <c r="D120" t="inlineStr">
        <is>
          <t>KALMAR LÄN</t>
        </is>
      </c>
      <c r="E120" t="inlineStr">
        <is>
          <t>HULTSFRED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20259-2019</t>
        </is>
      </c>
      <c r="B121" s="1" t="n">
        <v>43570</v>
      </c>
      <c r="C121" s="1" t="n">
        <v>45637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20223-2019</t>
        </is>
      </c>
      <c r="B122" s="1" t="n">
        <v>43571</v>
      </c>
      <c r="C122" s="1" t="n">
        <v>45637</v>
      </c>
      <c r="D122" t="inlineStr">
        <is>
          <t>KALMAR LÄN</t>
        </is>
      </c>
      <c r="E122" t="inlineStr">
        <is>
          <t>HULTSFRED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20564-2019</t>
        </is>
      </c>
      <c r="B123" s="1" t="n">
        <v>43572</v>
      </c>
      <c r="C123" s="1" t="n">
        <v>45637</v>
      </c>
      <c r="D123" t="inlineStr">
        <is>
          <t>KALMAR LÄN</t>
        </is>
      </c>
      <c r="E123" t="inlineStr">
        <is>
          <t>HULTSFRED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21008-2019</t>
        </is>
      </c>
      <c r="B124" s="1" t="n">
        <v>43578</v>
      </c>
      <c r="C124" s="1" t="n">
        <v>45637</v>
      </c>
      <c r="D124" t="inlineStr">
        <is>
          <t>KALMAR LÄN</t>
        </is>
      </c>
      <c r="E124" t="inlineStr">
        <is>
          <t>HULTSFRED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21366-2019</t>
        </is>
      </c>
      <c r="B125" s="1" t="n">
        <v>43579</v>
      </c>
      <c r="C125" s="1" t="n">
        <v>45637</v>
      </c>
      <c r="D125" t="inlineStr">
        <is>
          <t>KALMAR LÄN</t>
        </is>
      </c>
      <c r="E125" t="inlineStr">
        <is>
          <t>HULTSFRED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21868-2019</t>
        </is>
      </c>
      <c r="B126" s="1" t="n">
        <v>43584</v>
      </c>
      <c r="C126" s="1" t="n">
        <v>45637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22055-2019</t>
        </is>
      </c>
      <c r="B127" s="1" t="n">
        <v>43584</v>
      </c>
      <c r="C127" s="1" t="n">
        <v>45637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21940-2019</t>
        </is>
      </c>
      <c r="B128" s="1" t="n">
        <v>43584</v>
      </c>
      <c r="C128" s="1" t="n">
        <v>45637</v>
      </c>
      <c r="D128" t="inlineStr">
        <is>
          <t>KALMAR LÄN</t>
        </is>
      </c>
      <c r="E128" t="inlineStr">
        <is>
          <t>HULTSFRED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21932-2019</t>
        </is>
      </c>
      <c r="B129" s="1" t="n">
        <v>43584</v>
      </c>
      <c r="C129" s="1" t="n">
        <v>45637</v>
      </c>
      <c r="D129" t="inlineStr">
        <is>
          <t>KALMAR LÄN</t>
        </is>
      </c>
      <c r="E129" t="inlineStr">
        <is>
          <t>HULTSFRED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21861-2019</t>
        </is>
      </c>
      <c r="B130" s="1" t="n">
        <v>43584</v>
      </c>
      <c r="C130" s="1" t="n">
        <v>45637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22154-2019</t>
        </is>
      </c>
      <c r="B131" s="1" t="n">
        <v>43585</v>
      </c>
      <c r="C131" s="1" t="n">
        <v>45637</v>
      </c>
      <c r="D131" t="inlineStr">
        <is>
          <t>KALMAR LÄN</t>
        </is>
      </c>
      <c r="E131" t="inlineStr">
        <is>
          <t>HULTSFRED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22518-2019</t>
        </is>
      </c>
      <c r="B132" s="1" t="n">
        <v>43587</v>
      </c>
      <c r="C132" s="1" t="n">
        <v>45637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23178-2019</t>
        </is>
      </c>
      <c r="B133" s="1" t="n">
        <v>43587</v>
      </c>
      <c r="C133" s="1" t="n">
        <v>45637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23421-2019</t>
        </is>
      </c>
      <c r="B134" s="1" t="n">
        <v>43593</v>
      </c>
      <c r="C134" s="1" t="n">
        <v>45637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23841-2019</t>
        </is>
      </c>
      <c r="B135" s="1" t="n">
        <v>43595</v>
      </c>
      <c r="C135" s="1" t="n">
        <v>45637</v>
      </c>
      <c r="D135" t="inlineStr">
        <is>
          <t>KALMAR LÄN</t>
        </is>
      </c>
      <c r="E135" t="inlineStr">
        <is>
          <t>HULTSFRED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25282-2019</t>
        </is>
      </c>
      <c r="B136" s="1" t="n">
        <v>43605</v>
      </c>
      <c r="C136" s="1" t="n">
        <v>45637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25281-2019</t>
        </is>
      </c>
      <c r="B137" s="1" t="n">
        <v>43605</v>
      </c>
      <c r="C137" s="1" t="n">
        <v>45637</v>
      </c>
      <c r="D137" t="inlineStr">
        <is>
          <t>KALMAR LÄN</t>
        </is>
      </c>
      <c r="E137" t="inlineStr">
        <is>
          <t>HULTSFRED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28816-2019</t>
        </is>
      </c>
      <c r="B138" s="1" t="n">
        <v>43627</v>
      </c>
      <c r="C138" s="1" t="n">
        <v>45637</v>
      </c>
      <c r="D138" t="inlineStr">
        <is>
          <t>KALMAR LÄN</t>
        </is>
      </c>
      <c r="E138" t="inlineStr">
        <is>
          <t>HULTSFRED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29068-2019</t>
        </is>
      </c>
      <c r="B139" s="1" t="n">
        <v>43628</v>
      </c>
      <c r="C139" s="1" t="n">
        <v>45637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29070-2019</t>
        </is>
      </c>
      <c r="B140" s="1" t="n">
        <v>43628</v>
      </c>
      <c r="C140" s="1" t="n">
        <v>45637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29067-2019</t>
        </is>
      </c>
      <c r="B141" s="1" t="n">
        <v>43628</v>
      </c>
      <c r="C141" s="1" t="n">
        <v>45637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30114-2019</t>
        </is>
      </c>
      <c r="B142" s="1" t="n">
        <v>43633</v>
      </c>
      <c r="C142" s="1" t="n">
        <v>45637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30362-2019</t>
        </is>
      </c>
      <c r="B143" s="1" t="n">
        <v>43634</v>
      </c>
      <c r="C143" s="1" t="n">
        <v>45637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30366-2019</t>
        </is>
      </c>
      <c r="B144" s="1" t="n">
        <v>43634</v>
      </c>
      <c r="C144" s="1" t="n">
        <v>45637</v>
      </c>
      <c r="D144" t="inlineStr">
        <is>
          <t>KALMAR LÄN</t>
        </is>
      </c>
      <c r="E144" t="inlineStr">
        <is>
          <t>HULTSFRED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30513-2019</t>
        </is>
      </c>
      <c r="B145" s="1" t="n">
        <v>43635</v>
      </c>
      <c r="C145" s="1" t="n">
        <v>45637</v>
      </c>
      <c r="D145" t="inlineStr">
        <is>
          <t>KALMAR LÄN</t>
        </is>
      </c>
      <c r="E145" t="inlineStr">
        <is>
          <t>HULTSFRED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30517-2019</t>
        </is>
      </c>
      <c r="B146" s="1" t="n">
        <v>43635</v>
      </c>
      <c r="C146" s="1" t="n">
        <v>45637</v>
      </c>
      <c r="D146" t="inlineStr">
        <is>
          <t>KALMAR LÄN</t>
        </is>
      </c>
      <c r="E146" t="inlineStr">
        <is>
          <t>HULTSFRED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31020-2019</t>
        </is>
      </c>
      <c r="B147" s="1" t="n">
        <v>43640</v>
      </c>
      <c r="C147" s="1" t="n">
        <v>45637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31023-2019</t>
        </is>
      </c>
      <c r="B148" s="1" t="n">
        <v>43640</v>
      </c>
      <c r="C148" s="1" t="n">
        <v>45637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31863-2019</t>
        </is>
      </c>
      <c r="B149" s="1" t="n">
        <v>43641</v>
      </c>
      <c r="C149" s="1" t="n">
        <v>45637</v>
      </c>
      <c r="D149" t="inlineStr">
        <is>
          <t>KALMAR LÄN</t>
        </is>
      </c>
      <c r="E149" t="inlineStr">
        <is>
          <t>HULTSFRED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31665-2019</t>
        </is>
      </c>
      <c r="B150" s="1" t="n">
        <v>43642</v>
      </c>
      <c r="C150" s="1" t="n">
        <v>45637</v>
      </c>
      <c r="D150" t="inlineStr">
        <is>
          <t>KALMAR LÄN</t>
        </is>
      </c>
      <c r="E150" t="inlineStr">
        <is>
          <t>HULTSFRED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32010-2019</t>
        </is>
      </c>
      <c r="B151" s="1" t="n">
        <v>43643</v>
      </c>
      <c r="C151" s="1" t="n">
        <v>45637</v>
      </c>
      <c r="D151" t="inlineStr">
        <is>
          <t>KALMAR LÄN</t>
        </is>
      </c>
      <c r="E151" t="inlineStr">
        <is>
          <t>HULTSFRED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32384-2019</t>
        </is>
      </c>
      <c r="B152" s="1" t="n">
        <v>43644</v>
      </c>
      <c r="C152" s="1" t="n">
        <v>45637</v>
      </c>
      <c r="D152" t="inlineStr">
        <is>
          <t>KALMAR LÄN</t>
        </is>
      </c>
      <c r="E152" t="inlineStr">
        <is>
          <t>HULTSFRED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32715-2019</t>
        </is>
      </c>
      <c r="B153" s="1" t="n">
        <v>43647</v>
      </c>
      <c r="C153" s="1" t="n">
        <v>45637</v>
      </c>
      <c r="D153" t="inlineStr">
        <is>
          <t>KALMAR LÄN</t>
        </is>
      </c>
      <c r="E153" t="inlineStr">
        <is>
          <t>HULTSFRED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33989-2019</t>
        </is>
      </c>
      <c r="B154" s="1" t="n">
        <v>43654</v>
      </c>
      <c r="C154" s="1" t="n">
        <v>45637</v>
      </c>
      <c r="D154" t="inlineStr">
        <is>
          <t>KALMAR LÄN</t>
        </is>
      </c>
      <c r="E154" t="inlineStr">
        <is>
          <t>HULTSFRED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34416-2019</t>
        </is>
      </c>
      <c r="B155" s="1" t="n">
        <v>43656</v>
      </c>
      <c r="C155" s="1" t="n">
        <v>45637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34868-2019</t>
        </is>
      </c>
      <c r="B156" s="1" t="n">
        <v>43658</v>
      </c>
      <c r="C156" s="1" t="n">
        <v>45637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35123-2019</t>
        </is>
      </c>
      <c r="B157" s="1" t="n">
        <v>43661</v>
      </c>
      <c r="C157" s="1" t="n">
        <v>45637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35890-2019</t>
        </is>
      </c>
      <c r="B158" s="1" t="n">
        <v>43665</v>
      </c>
      <c r="C158" s="1" t="n">
        <v>45637</v>
      </c>
      <c r="D158" t="inlineStr">
        <is>
          <t>KALMAR LÄN</t>
        </is>
      </c>
      <c r="E158" t="inlineStr">
        <is>
          <t>HULTSFRED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35884-2019</t>
        </is>
      </c>
      <c r="B159" s="1" t="n">
        <v>43665</v>
      </c>
      <c r="C159" s="1" t="n">
        <v>45637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35977-2019</t>
        </is>
      </c>
      <c r="B160" s="1" t="n">
        <v>43667</v>
      </c>
      <c r="C160" s="1" t="n">
        <v>45637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36029-2019</t>
        </is>
      </c>
      <c r="B161" s="1" t="n">
        <v>43668</v>
      </c>
      <c r="C161" s="1" t="n">
        <v>45637</v>
      </c>
      <c r="D161" t="inlineStr">
        <is>
          <t>KALMAR LÄN</t>
        </is>
      </c>
      <c r="E161" t="inlineStr">
        <is>
          <t>HULTSFRED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36281-2019</t>
        </is>
      </c>
      <c r="B162" s="1" t="n">
        <v>43669</v>
      </c>
      <c r="C162" s="1" t="n">
        <v>45637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36688-2019</t>
        </is>
      </c>
      <c r="B163" s="1" t="n">
        <v>43670</v>
      </c>
      <c r="C163" s="1" t="n">
        <v>45637</v>
      </c>
      <c r="D163" t="inlineStr">
        <is>
          <t>KALMAR LÄN</t>
        </is>
      </c>
      <c r="E163" t="inlineStr">
        <is>
          <t>HULTSFRED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36883-2019</t>
        </is>
      </c>
      <c r="B164" s="1" t="n">
        <v>43675</v>
      </c>
      <c r="C164" s="1" t="n">
        <v>45637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37177-2019</t>
        </is>
      </c>
      <c r="B165" s="1" t="n">
        <v>43677</v>
      </c>
      <c r="C165" s="1" t="n">
        <v>45637</v>
      </c>
      <c r="D165" t="inlineStr">
        <is>
          <t>KALMAR LÄN</t>
        </is>
      </c>
      <c r="E165" t="inlineStr">
        <is>
          <t>HULTSFRED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37644-2019</t>
        </is>
      </c>
      <c r="B166" s="1" t="n">
        <v>43682</v>
      </c>
      <c r="C166" s="1" t="n">
        <v>45637</v>
      </c>
      <c r="D166" t="inlineStr">
        <is>
          <t>KALMAR LÄN</t>
        </is>
      </c>
      <c r="E166" t="inlineStr">
        <is>
          <t>HULTSFRED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37749-2019</t>
        </is>
      </c>
      <c r="B167" s="1" t="n">
        <v>43682</v>
      </c>
      <c r="C167" s="1" t="n">
        <v>45637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37849-2019</t>
        </is>
      </c>
      <c r="B168" s="1" t="n">
        <v>43682</v>
      </c>
      <c r="C168" s="1" t="n">
        <v>45637</v>
      </c>
      <c r="D168" t="inlineStr">
        <is>
          <t>KALMAR LÄN</t>
        </is>
      </c>
      <c r="E168" t="inlineStr">
        <is>
          <t>HULTSFRED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38000-2019</t>
        </is>
      </c>
      <c r="B169" s="1" t="n">
        <v>43683</v>
      </c>
      <c r="C169" s="1" t="n">
        <v>45637</v>
      </c>
      <c r="D169" t="inlineStr">
        <is>
          <t>KALMAR LÄN</t>
        </is>
      </c>
      <c r="E169" t="inlineStr">
        <is>
          <t>HULTSFRED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38075-2019</t>
        </is>
      </c>
      <c r="B170" s="1" t="n">
        <v>43683</v>
      </c>
      <c r="C170" s="1" t="n">
        <v>45637</v>
      </c>
      <c r="D170" t="inlineStr">
        <is>
          <t>KALMAR LÄN</t>
        </is>
      </c>
      <c r="E170" t="inlineStr">
        <is>
          <t>HULTSFRED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37977-2019</t>
        </is>
      </c>
      <c r="B171" s="1" t="n">
        <v>43683</v>
      </c>
      <c r="C171" s="1" t="n">
        <v>45637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38880-2019</t>
        </is>
      </c>
      <c r="B172" s="1" t="n">
        <v>43689</v>
      </c>
      <c r="C172" s="1" t="n">
        <v>45637</v>
      </c>
      <c r="D172" t="inlineStr">
        <is>
          <t>KALMAR LÄN</t>
        </is>
      </c>
      <c r="E172" t="inlineStr">
        <is>
          <t>HULTSFRED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40281-2019</t>
        </is>
      </c>
      <c r="B173" s="1" t="n">
        <v>43690</v>
      </c>
      <c r="C173" s="1" t="n">
        <v>45637</v>
      </c>
      <c r="D173" t="inlineStr">
        <is>
          <t>KALMAR LÄN</t>
        </is>
      </c>
      <c r="E173" t="inlineStr">
        <is>
          <t>HULTSFRED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39665-2019</t>
        </is>
      </c>
      <c r="B174" s="1" t="n">
        <v>43691</v>
      </c>
      <c r="C174" s="1" t="n">
        <v>45637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39919-2019</t>
        </is>
      </c>
      <c r="B175" s="1" t="n">
        <v>43692</v>
      </c>
      <c r="C175" s="1" t="n">
        <v>45637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40303-2019</t>
        </is>
      </c>
      <c r="B176" s="1" t="n">
        <v>43696</v>
      </c>
      <c r="C176" s="1" t="n">
        <v>45637</v>
      </c>
      <c r="D176" t="inlineStr">
        <is>
          <t>KALMAR LÄN</t>
        </is>
      </c>
      <c r="E176" t="inlineStr">
        <is>
          <t>HULTSFRED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40420-2019</t>
        </is>
      </c>
      <c r="B177" s="1" t="n">
        <v>43696</v>
      </c>
      <c r="C177" s="1" t="n">
        <v>45637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41819-2019</t>
        </is>
      </c>
      <c r="B178" s="1" t="n">
        <v>43697</v>
      </c>
      <c r="C178" s="1" t="n">
        <v>45637</v>
      </c>
      <c r="D178" t="inlineStr">
        <is>
          <t>KALMAR LÄN</t>
        </is>
      </c>
      <c r="E178" t="inlineStr">
        <is>
          <t>HULTSFRED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41057-2019</t>
        </is>
      </c>
      <c r="B179" s="1" t="n">
        <v>43697</v>
      </c>
      <c r="C179" s="1" t="n">
        <v>45637</v>
      </c>
      <c r="D179" t="inlineStr">
        <is>
          <t>KALMAR LÄN</t>
        </is>
      </c>
      <c r="E179" t="inlineStr">
        <is>
          <t>HULTSFRED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41407-2019</t>
        </is>
      </c>
      <c r="B180" s="1" t="n">
        <v>43698</v>
      </c>
      <c r="C180" s="1" t="n">
        <v>45637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41643-2019</t>
        </is>
      </c>
      <c r="B181" s="1" t="n">
        <v>43699</v>
      </c>
      <c r="C181" s="1" t="n">
        <v>45637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41842-2019</t>
        </is>
      </c>
      <c r="B182" s="1" t="n">
        <v>43700</v>
      </c>
      <c r="C182" s="1" t="n">
        <v>45637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42106-2019</t>
        </is>
      </c>
      <c r="B183" s="1" t="n">
        <v>43702</v>
      </c>
      <c r="C183" s="1" t="n">
        <v>45637</v>
      </c>
      <c r="D183" t="inlineStr">
        <is>
          <t>KALMAR LÄN</t>
        </is>
      </c>
      <c r="E183" t="inlineStr">
        <is>
          <t>HULTSFRED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42200-2019</t>
        </is>
      </c>
      <c r="B184" s="1" t="n">
        <v>43703</v>
      </c>
      <c r="C184" s="1" t="n">
        <v>45637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42193-2019</t>
        </is>
      </c>
      <c r="B185" s="1" t="n">
        <v>43703</v>
      </c>
      <c r="C185" s="1" t="n">
        <v>45637</v>
      </c>
      <c r="D185" t="inlineStr">
        <is>
          <t>KALMAR LÄN</t>
        </is>
      </c>
      <c r="E185" t="inlineStr">
        <is>
          <t>HULTSFRED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42294-2019</t>
        </is>
      </c>
      <c r="B186" s="1" t="n">
        <v>43703</v>
      </c>
      <c r="C186" s="1" t="n">
        <v>45637</v>
      </c>
      <c r="D186" t="inlineStr">
        <is>
          <t>KALMAR LÄN</t>
        </is>
      </c>
      <c r="E186" t="inlineStr">
        <is>
          <t>HULTSFRED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43035-2019</t>
        </is>
      </c>
      <c r="B187" s="1" t="n">
        <v>43705</v>
      </c>
      <c r="C187" s="1" t="n">
        <v>45637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43754-2019</t>
        </is>
      </c>
      <c r="B188" s="1" t="n">
        <v>43707</v>
      </c>
      <c r="C188" s="1" t="n">
        <v>45637</v>
      </c>
      <c r="D188" t="inlineStr">
        <is>
          <t>KALMAR LÄN</t>
        </is>
      </c>
      <c r="E188" t="inlineStr">
        <is>
          <t>HULTSFRED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43875-2019</t>
        </is>
      </c>
      <c r="B189" s="1" t="n">
        <v>43707</v>
      </c>
      <c r="C189" s="1" t="n">
        <v>45637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44238-2019</t>
        </is>
      </c>
      <c r="B190" s="1" t="n">
        <v>43710</v>
      </c>
      <c r="C190" s="1" t="n">
        <v>45637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44775-2019</t>
        </is>
      </c>
      <c r="B191" s="1" t="n">
        <v>43712</v>
      </c>
      <c r="C191" s="1" t="n">
        <v>45637</v>
      </c>
      <c r="D191" t="inlineStr">
        <is>
          <t>KALMAR LÄN</t>
        </is>
      </c>
      <c r="E191" t="inlineStr">
        <is>
          <t>HULTSFRED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44616-2019</t>
        </is>
      </c>
      <c r="B192" s="1" t="n">
        <v>43712</v>
      </c>
      <c r="C192" s="1" t="n">
        <v>45637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45101-2019</t>
        </is>
      </c>
      <c r="B193" s="1" t="n">
        <v>43713</v>
      </c>
      <c r="C193" s="1" t="n">
        <v>45637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45103-2019</t>
        </is>
      </c>
      <c r="B194" s="1" t="n">
        <v>43713</v>
      </c>
      <c r="C194" s="1" t="n">
        <v>45637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45108-2019</t>
        </is>
      </c>
      <c r="B195" s="1" t="n">
        <v>43713</v>
      </c>
      <c r="C195" s="1" t="n">
        <v>45637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45535-2019</t>
        </is>
      </c>
      <c r="B196" s="1" t="n">
        <v>43714</v>
      </c>
      <c r="C196" s="1" t="n">
        <v>45637</v>
      </c>
      <c r="D196" t="inlineStr">
        <is>
          <t>KALMAR LÄN</t>
        </is>
      </c>
      <c r="E196" t="inlineStr">
        <is>
          <t>HULTSFRED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46263-2019</t>
        </is>
      </c>
      <c r="B197" s="1" t="n">
        <v>43718</v>
      </c>
      <c r="C197" s="1" t="n">
        <v>45637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46505-2019</t>
        </is>
      </c>
      <c r="B198" s="1" t="n">
        <v>43719</v>
      </c>
      <c r="C198" s="1" t="n">
        <v>45637</v>
      </c>
      <c r="D198" t="inlineStr">
        <is>
          <t>KALMAR LÄN</t>
        </is>
      </c>
      <c r="E198" t="inlineStr">
        <is>
          <t>HULTSFRED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46440-2019</t>
        </is>
      </c>
      <c r="B199" s="1" t="n">
        <v>43719</v>
      </c>
      <c r="C199" s="1" t="n">
        <v>45637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47401-2019</t>
        </is>
      </c>
      <c r="B200" s="1" t="n">
        <v>43722</v>
      </c>
      <c r="C200" s="1" t="n">
        <v>45637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47626-2019</t>
        </is>
      </c>
      <c r="B201" s="1" t="n">
        <v>43724</v>
      </c>
      <c r="C201" s="1" t="n">
        <v>45637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47603-2019</t>
        </is>
      </c>
      <c r="B202" s="1" t="n">
        <v>43724</v>
      </c>
      <c r="C202" s="1" t="n">
        <v>45637</v>
      </c>
      <c r="D202" t="inlineStr">
        <is>
          <t>KALMAR LÄN</t>
        </is>
      </c>
      <c r="E202" t="inlineStr">
        <is>
          <t>HULTSFRED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47592-2019</t>
        </is>
      </c>
      <c r="B203" s="1" t="n">
        <v>43724</v>
      </c>
      <c r="C203" s="1" t="n">
        <v>45637</v>
      </c>
      <c r="D203" t="inlineStr">
        <is>
          <t>KALMAR LÄN</t>
        </is>
      </c>
      <c r="E203" t="inlineStr">
        <is>
          <t>HULTSFRED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48353-2019</t>
        </is>
      </c>
      <c r="B204" s="1" t="n">
        <v>43726</v>
      </c>
      <c r="C204" s="1" t="n">
        <v>45637</v>
      </c>
      <c r="D204" t="inlineStr">
        <is>
          <t>KALMAR LÄN</t>
        </is>
      </c>
      <c r="E204" t="inlineStr">
        <is>
          <t>HULTSFRED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48333-2019</t>
        </is>
      </c>
      <c r="B205" s="1" t="n">
        <v>43726</v>
      </c>
      <c r="C205" s="1" t="n">
        <v>45637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48644-2019</t>
        </is>
      </c>
      <c r="B206" s="1" t="n">
        <v>43728</v>
      </c>
      <c r="C206" s="1" t="n">
        <v>45637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49428-2019</t>
        </is>
      </c>
      <c r="B207" s="1" t="n">
        <v>43732</v>
      </c>
      <c r="C207" s="1" t="n">
        <v>45637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49894-2019</t>
        </is>
      </c>
      <c r="B208" s="1" t="n">
        <v>43733</v>
      </c>
      <c r="C208" s="1" t="n">
        <v>45637</v>
      </c>
      <c r="D208" t="inlineStr">
        <is>
          <t>KALMAR LÄN</t>
        </is>
      </c>
      <c r="E208" t="inlineStr">
        <is>
          <t>HULTSFRED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51986-2019</t>
        </is>
      </c>
      <c r="B209" s="1" t="n">
        <v>43734</v>
      </c>
      <c r="C209" s="1" t="n">
        <v>45637</v>
      </c>
      <c r="D209" t="inlineStr">
        <is>
          <t>KALMAR LÄN</t>
        </is>
      </c>
      <c r="E209" t="inlineStr">
        <is>
          <t>HULTSFRED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50956-2019</t>
        </is>
      </c>
      <c r="B210" s="1" t="n">
        <v>43738</v>
      </c>
      <c r="C210" s="1" t="n">
        <v>45637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50955-2019</t>
        </is>
      </c>
      <c r="B211" s="1" t="n">
        <v>43738</v>
      </c>
      <c r="C211" s="1" t="n">
        <v>45637</v>
      </c>
      <c r="D211" t="inlineStr">
        <is>
          <t>KALMAR LÄN</t>
        </is>
      </c>
      <c r="E211" t="inlineStr">
        <is>
          <t>HULTSFRED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51429-2019</t>
        </is>
      </c>
      <c r="B212" s="1" t="n">
        <v>43740</v>
      </c>
      <c r="C212" s="1" t="n">
        <v>45637</v>
      </c>
      <c r="D212" t="inlineStr">
        <is>
          <t>KALMAR LÄN</t>
        </is>
      </c>
      <c r="E212" t="inlineStr">
        <is>
          <t>HULTSFRED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51650-2019</t>
        </is>
      </c>
      <c r="B213" s="1" t="n">
        <v>43740</v>
      </c>
      <c r="C213" s="1" t="n">
        <v>45637</v>
      </c>
      <c r="D213" t="inlineStr">
        <is>
          <t>KALMAR LÄN</t>
        </is>
      </c>
      <c r="E213" t="inlineStr">
        <is>
          <t>HULTSFRED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51631-2019</t>
        </is>
      </c>
      <c r="B214" s="1" t="n">
        <v>43740</v>
      </c>
      <c r="C214" s="1" t="n">
        <v>45637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51414-2019</t>
        </is>
      </c>
      <c r="B215" s="1" t="n">
        <v>43740</v>
      </c>
      <c r="C215" s="1" t="n">
        <v>45637</v>
      </c>
      <c r="D215" t="inlineStr">
        <is>
          <t>KALMAR LÄN</t>
        </is>
      </c>
      <c r="E215" t="inlineStr">
        <is>
          <t>HULTSFRED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51428-2019</t>
        </is>
      </c>
      <c r="B216" s="1" t="n">
        <v>43740</v>
      </c>
      <c r="C216" s="1" t="n">
        <v>45637</v>
      </c>
      <c r="D216" t="inlineStr">
        <is>
          <t>KALMAR LÄN</t>
        </is>
      </c>
      <c r="E216" t="inlineStr">
        <is>
          <t>HULTSFRED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51999-2019</t>
        </is>
      </c>
      <c r="B217" s="1" t="n">
        <v>43742</v>
      </c>
      <c r="C217" s="1" t="n">
        <v>45637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51998-2019</t>
        </is>
      </c>
      <c r="B218" s="1" t="n">
        <v>43742</v>
      </c>
      <c r="C218" s="1" t="n">
        <v>45637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52109-2019</t>
        </is>
      </c>
      <c r="B219" s="1" t="n">
        <v>43742</v>
      </c>
      <c r="C219" s="1" t="n">
        <v>45637</v>
      </c>
      <c r="D219" t="inlineStr">
        <is>
          <t>KALMAR LÄN</t>
        </is>
      </c>
      <c r="E219" t="inlineStr">
        <is>
          <t>HULTSFRED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52113-2019</t>
        </is>
      </c>
      <c r="B220" s="1" t="n">
        <v>43742</v>
      </c>
      <c r="C220" s="1" t="n">
        <v>45637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52119-2019</t>
        </is>
      </c>
      <c r="B221" s="1" t="n">
        <v>43742</v>
      </c>
      <c r="C221" s="1" t="n">
        <v>45637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52142-2019</t>
        </is>
      </c>
      <c r="B222" s="1" t="n">
        <v>43742</v>
      </c>
      <c r="C222" s="1" t="n">
        <v>45637</v>
      </c>
      <c r="D222" t="inlineStr">
        <is>
          <t>KALMAR LÄN</t>
        </is>
      </c>
      <c r="E222" t="inlineStr">
        <is>
          <t>HULTSFRED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52376-2019</t>
        </is>
      </c>
      <c r="B223" s="1" t="n">
        <v>43745</v>
      </c>
      <c r="C223" s="1" t="n">
        <v>45637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52800-2019</t>
        </is>
      </c>
      <c r="B224" s="1" t="n">
        <v>43746</v>
      </c>
      <c r="C224" s="1" t="n">
        <v>45637</v>
      </c>
      <c r="D224" t="inlineStr">
        <is>
          <t>KALMAR LÄN</t>
        </is>
      </c>
      <c r="E224" t="inlineStr">
        <is>
          <t>HULTSFRED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52608-2019</t>
        </is>
      </c>
      <c r="B225" s="1" t="n">
        <v>43746</v>
      </c>
      <c r="C225" s="1" t="n">
        <v>45637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52895-2019</t>
        </is>
      </c>
      <c r="B226" s="1" t="n">
        <v>43746</v>
      </c>
      <c r="C226" s="1" t="n">
        <v>45637</v>
      </c>
      <c r="D226" t="inlineStr">
        <is>
          <t>KALMAR LÄN</t>
        </is>
      </c>
      <c r="E226" t="inlineStr">
        <is>
          <t>HULTSFRED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53027-2019</t>
        </is>
      </c>
      <c r="B227" s="1" t="n">
        <v>43747</v>
      </c>
      <c r="C227" s="1" t="n">
        <v>45637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53423-2019</t>
        </is>
      </c>
      <c r="B228" s="1" t="n">
        <v>43748</v>
      </c>
      <c r="C228" s="1" t="n">
        <v>45637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53805-2019</t>
        </is>
      </c>
      <c r="B229" s="1" t="n">
        <v>43751</v>
      </c>
      <c r="C229" s="1" t="n">
        <v>45637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54651-2019</t>
        </is>
      </c>
      <c r="B230" s="1" t="n">
        <v>43754</v>
      </c>
      <c r="C230" s="1" t="n">
        <v>45637</v>
      </c>
      <c r="D230" t="inlineStr">
        <is>
          <t>KALMAR LÄN</t>
        </is>
      </c>
      <c r="E230" t="inlineStr">
        <is>
          <t>HULTSFRED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55118-2019</t>
        </is>
      </c>
      <c r="B231" s="1" t="n">
        <v>43756</v>
      </c>
      <c r="C231" s="1" t="n">
        <v>45637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56296-2019</t>
        </is>
      </c>
      <c r="B232" s="1" t="n">
        <v>43756</v>
      </c>
      <c r="C232" s="1" t="n">
        <v>45637</v>
      </c>
      <c r="D232" t="inlineStr">
        <is>
          <t>KALMAR LÄN</t>
        </is>
      </c>
      <c r="E232" t="inlineStr">
        <is>
          <t>HULTSFRED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56386-2019</t>
        </is>
      </c>
      <c r="B233" s="1" t="n">
        <v>43756</v>
      </c>
      <c r="C233" s="1" t="n">
        <v>45637</v>
      </c>
      <c r="D233" t="inlineStr">
        <is>
          <t>KALMAR LÄN</t>
        </is>
      </c>
      <c r="E233" t="inlineStr">
        <is>
          <t>HULTSFRED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56449-2019</t>
        </is>
      </c>
      <c r="B234" s="1" t="n">
        <v>43756</v>
      </c>
      <c r="C234" s="1" t="n">
        <v>45637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56392-2019</t>
        </is>
      </c>
      <c r="B235" s="1" t="n">
        <v>43756</v>
      </c>
      <c r="C235" s="1" t="n">
        <v>45637</v>
      </c>
      <c r="D235" t="inlineStr">
        <is>
          <t>KALMAR LÄN</t>
        </is>
      </c>
      <c r="E235" t="inlineStr">
        <is>
          <t>HULTSFRED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55501-2019</t>
        </is>
      </c>
      <c r="B236" s="1" t="n">
        <v>43760</v>
      </c>
      <c r="C236" s="1" t="n">
        <v>45637</v>
      </c>
      <c r="D236" t="inlineStr">
        <is>
          <t>KALMAR LÄN</t>
        </is>
      </c>
      <c r="E236" t="inlineStr">
        <is>
          <t>HULTSFRED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56458-2019</t>
        </is>
      </c>
      <c r="B237" s="1" t="n">
        <v>43762</v>
      </c>
      <c r="C237" s="1" t="n">
        <v>45637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56459-2019</t>
        </is>
      </c>
      <c r="B238" s="1" t="n">
        <v>43762</v>
      </c>
      <c r="C238" s="1" t="n">
        <v>45637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56828-2019</t>
        </is>
      </c>
      <c r="B239" s="1" t="n">
        <v>43764</v>
      </c>
      <c r="C239" s="1" t="n">
        <v>45637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57351-2019</t>
        </is>
      </c>
      <c r="B240" s="1" t="n">
        <v>43767</v>
      </c>
      <c r="C240" s="1" t="n">
        <v>45637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57532-2019</t>
        </is>
      </c>
      <c r="B241" s="1" t="n">
        <v>43767</v>
      </c>
      <c r="C241" s="1" t="n">
        <v>45637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57535-2019</t>
        </is>
      </c>
      <c r="B242" s="1" t="n">
        <v>43767</v>
      </c>
      <c r="C242" s="1" t="n">
        <v>45637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57894-2019</t>
        </is>
      </c>
      <c r="B243" s="1" t="n">
        <v>43769</v>
      </c>
      <c r="C243" s="1" t="n">
        <v>45637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57900-2019</t>
        </is>
      </c>
      <c r="B244" s="1" t="n">
        <v>43769</v>
      </c>
      <c r="C244" s="1" t="n">
        <v>45637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58008-2019</t>
        </is>
      </c>
      <c r="B245" s="1" t="n">
        <v>43769</v>
      </c>
      <c r="C245" s="1" t="n">
        <v>45637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57902-2019</t>
        </is>
      </c>
      <c r="B246" s="1" t="n">
        <v>43769</v>
      </c>
      <c r="C246" s="1" t="n">
        <v>45637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58026-2019</t>
        </is>
      </c>
      <c r="B247" s="1" t="n">
        <v>43769</v>
      </c>
      <c r="C247" s="1" t="n">
        <v>45637</v>
      </c>
      <c r="D247" t="inlineStr">
        <is>
          <t>KALMAR LÄN</t>
        </is>
      </c>
      <c r="E247" t="inlineStr">
        <is>
          <t>HULTSFRED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58397-2019</t>
        </is>
      </c>
      <c r="B248" s="1" t="n">
        <v>43772</v>
      </c>
      <c r="C248" s="1" t="n">
        <v>45637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59041-2019</t>
        </is>
      </c>
      <c r="B249" s="1" t="n">
        <v>43774</v>
      </c>
      <c r="C249" s="1" t="n">
        <v>45637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59616-2019</t>
        </is>
      </c>
      <c r="B250" s="1" t="n">
        <v>43776</v>
      </c>
      <c r="C250" s="1" t="n">
        <v>45637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59639-2019</t>
        </is>
      </c>
      <c r="B251" s="1" t="n">
        <v>43776</v>
      </c>
      <c r="C251" s="1" t="n">
        <v>45637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59694-2019</t>
        </is>
      </c>
      <c r="B252" s="1" t="n">
        <v>43776</v>
      </c>
      <c r="C252" s="1" t="n">
        <v>45637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59622-2019</t>
        </is>
      </c>
      <c r="B253" s="1" t="n">
        <v>43776</v>
      </c>
      <c r="C253" s="1" t="n">
        <v>45637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59645-2019</t>
        </is>
      </c>
      <c r="B254" s="1" t="n">
        <v>43776</v>
      </c>
      <c r="C254" s="1" t="n">
        <v>45637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59705-2019</t>
        </is>
      </c>
      <c r="B255" s="1" t="n">
        <v>43776</v>
      </c>
      <c r="C255" s="1" t="n">
        <v>45637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59812-2019</t>
        </is>
      </c>
      <c r="B256" s="1" t="n">
        <v>43776</v>
      </c>
      <c r="C256" s="1" t="n">
        <v>45637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60101-2019</t>
        </is>
      </c>
      <c r="B257" s="1" t="n">
        <v>43777</v>
      </c>
      <c r="C257" s="1" t="n">
        <v>45637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60324-2019</t>
        </is>
      </c>
      <c r="B258" s="1" t="n">
        <v>43780</v>
      </c>
      <c r="C258" s="1" t="n">
        <v>45637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60932-2019</t>
        </is>
      </c>
      <c r="B259" s="1" t="n">
        <v>43780</v>
      </c>
      <c r="C259" s="1" t="n">
        <v>45637</v>
      </c>
      <c r="D259" t="inlineStr">
        <is>
          <t>KALMAR LÄN</t>
        </is>
      </c>
      <c r="E259" t="inlineStr">
        <is>
          <t>HULTSFRED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60277-2019</t>
        </is>
      </c>
      <c r="B260" s="1" t="n">
        <v>43780</v>
      </c>
      <c r="C260" s="1" t="n">
        <v>45637</v>
      </c>
      <c r="D260" t="inlineStr">
        <is>
          <t>KALMAR LÄN</t>
        </is>
      </c>
      <c r="E260" t="inlineStr">
        <is>
          <t>HULTSFRED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61164-2019</t>
        </is>
      </c>
      <c r="B261" s="1" t="n">
        <v>43782</v>
      </c>
      <c r="C261" s="1" t="n">
        <v>45637</v>
      </c>
      <c r="D261" t="inlineStr">
        <is>
          <t>KALMAR LÄN</t>
        </is>
      </c>
      <c r="E261" t="inlineStr">
        <is>
          <t>HULTSFRED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61298-2019</t>
        </is>
      </c>
      <c r="B262" s="1" t="n">
        <v>43783</v>
      </c>
      <c r="C262" s="1" t="n">
        <v>45637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61327-2019</t>
        </is>
      </c>
      <c r="B263" s="1" t="n">
        <v>43783</v>
      </c>
      <c r="C263" s="1" t="n">
        <v>45637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61329-2019</t>
        </is>
      </c>
      <c r="B264" s="1" t="n">
        <v>43783</v>
      </c>
      <c r="C264" s="1" t="n">
        <v>45637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63432-2019</t>
        </is>
      </c>
      <c r="B265" s="1" t="n">
        <v>43794</v>
      </c>
      <c r="C265" s="1" t="n">
        <v>45637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63539-2019</t>
        </is>
      </c>
      <c r="B266" s="1" t="n">
        <v>43794</v>
      </c>
      <c r="C266" s="1" t="n">
        <v>45637</v>
      </c>
      <c r="D266" t="inlineStr">
        <is>
          <t>KALMAR LÄN</t>
        </is>
      </c>
      <c r="E266" t="inlineStr">
        <is>
          <t>HULTSFRED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63762-2019</t>
        </is>
      </c>
      <c r="B267" s="1" t="n">
        <v>43795</v>
      </c>
      <c r="C267" s="1" t="n">
        <v>45637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64215-2019</t>
        </is>
      </c>
      <c r="B268" s="1" t="n">
        <v>43797</v>
      </c>
      <c r="C268" s="1" t="n">
        <v>45637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64212-2019</t>
        </is>
      </c>
      <c r="B269" s="1" t="n">
        <v>43797</v>
      </c>
      <c r="C269" s="1" t="n">
        <v>45637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64210-2019</t>
        </is>
      </c>
      <c r="B270" s="1" t="n">
        <v>43797</v>
      </c>
      <c r="C270" s="1" t="n">
        <v>45637</v>
      </c>
      <c r="D270" t="inlineStr">
        <is>
          <t>KALMAR LÄN</t>
        </is>
      </c>
      <c r="E270" t="inlineStr">
        <is>
          <t>HULTSFRED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64732-2019</t>
        </is>
      </c>
      <c r="B271" s="1" t="n">
        <v>43800</v>
      </c>
      <c r="C271" s="1" t="n">
        <v>45637</v>
      </c>
      <c r="D271" t="inlineStr">
        <is>
          <t>KALMAR LÄN</t>
        </is>
      </c>
      <c r="E271" t="inlineStr">
        <is>
          <t>HULTSFRED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65427-2019</t>
        </is>
      </c>
      <c r="B272" s="1" t="n">
        <v>43803</v>
      </c>
      <c r="C272" s="1" t="n">
        <v>45637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65537-2019</t>
        </is>
      </c>
      <c r="B273" s="1" t="n">
        <v>43803</v>
      </c>
      <c r="C273" s="1" t="n">
        <v>45637</v>
      </c>
      <c r="D273" t="inlineStr">
        <is>
          <t>KALMAR LÄN</t>
        </is>
      </c>
      <c r="E273" t="inlineStr">
        <is>
          <t>HULTSFRED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65420-2019</t>
        </is>
      </c>
      <c r="B274" s="1" t="n">
        <v>43803</v>
      </c>
      <c r="C274" s="1" t="n">
        <v>45637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67076-2019</t>
        </is>
      </c>
      <c r="B275" s="1" t="n">
        <v>43807</v>
      </c>
      <c r="C275" s="1" t="n">
        <v>45637</v>
      </c>
      <c r="D275" t="inlineStr">
        <is>
          <t>KALMAR LÄN</t>
        </is>
      </c>
      <c r="E275" t="inlineStr">
        <is>
          <t>HULTSFRED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66178-2019</t>
        </is>
      </c>
      <c r="B276" s="1" t="n">
        <v>43808</v>
      </c>
      <c r="C276" s="1" t="n">
        <v>45637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66180-2019</t>
        </is>
      </c>
      <c r="B277" s="1" t="n">
        <v>43808</v>
      </c>
      <c r="C277" s="1" t="n">
        <v>45637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66174-2019</t>
        </is>
      </c>
      <c r="B278" s="1" t="n">
        <v>43808</v>
      </c>
      <c r="C278" s="1" t="n">
        <v>45637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66184-2019</t>
        </is>
      </c>
      <c r="B279" s="1" t="n">
        <v>43808</v>
      </c>
      <c r="C279" s="1" t="n">
        <v>45637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66841-2019</t>
        </is>
      </c>
      <c r="B280" s="1" t="n">
        <v>43810</v>
      </c>
      <c r="C280" s="1" t="n">
        <v>45637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66773-2019</t>
        </is>
      </c>
      <c r="B281" s="1" t="n">
        <v>43810</v>
      </c>
      <c r="C281" s="1" t="n">
        <v>45637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66770-2019</t>
        </is>
      </c>
      <c r="B282" s="1" t="n">
        <v>43810</v>
      </c>
      <c r="C282" s="1" t="n">
        <v>45637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66843-2019</t>
        </is>
      </c>
      <c r="B283" s="1" t="n">
        <v>43810</v>
      </c>
      <c r="C283" s="1" t="n">
        <v>45637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66842-2019</t>
        </is>
      </c>
      <c r="B284" s="1" t="n">
        <v>43810</v>
      </c>
      <c r="C284" s="1" t="n">
        <v>45637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67186-2019</t>
        </is>
      </c>
      <c r="B285" s="1" t="n">
        <v>43811</v>
      </c>
      <c r="C285" s="1" t="n">
        <v>45637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67184-2019</t>
        </is>
      </c>
      <c r="B286" s="1" t="n">
        <v>43811</v>
      </c>
      <c r="C286" s="1" t="n">
        <v>45637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67185-2019</t>
        </is>
      </c>
      <c r="B287" s="1" t="n">
        <v>43811</v>
      </c>
      <c r="C287" s="1" t="n">
        <v>45637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67489-2019</t>
        </is>
      </c>
      <c r="B288" s="1" t="n">
        <v>43815</v>
      </c>
      <c r="C288" s="1" t="n">
        <v>45637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68036-2019</t>
        </is>
      </c>
      <c r="B289" s="1" t="n">
        <v>43816</v>
      </c>
      <c r="C289" s="1" t="n">
        <v>45637</v>
      </c>
      <c r="D289" t="inlineStr">
        <is>
          <t>KALMAR LÄN</t>
        </is>
      </c>
      <c r="E289" t="inlineStr">
        <is>
          <t>HULTSFRED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67876-2019</t>
        </is>
      </c>
      <c r="B290" s="1" t="n">
        <v>43816</v>
      </c>
      <c r="C290" s="1" t="n">
        <v>45637</v>
      </c>
      <c r="D290" t="inlineStr">
        <is>
          <t>KALMAR LÄN</t>
        </is>
      </c>
      <c r="E290" t="inlineStr">
        <is>
          <t>HULTSFRED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68275-2019</t>
        </is>
      </c>
      <c r="B291" s="1" t="n">
        <v>43817</v>
      </c>
      <c r="C291" s="1" t="n">
        <v>45637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153-2020</t>
        </is>
      </c>
      <c r="B292" s="1" t="n">
        <v>43833</v>
      </c>
      <c r="C292" s="1" t="n">
        <v>45637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156-2020</t>
        </is>
      </c>
      <c r="B293" s="1" t="n">
        <v>43833</v>
      </c>
      <c r="C293" s="1" t="n">
        <v>45637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655-2020</t>
        </is>
      </c>
      <c r="B294" s="1" t="n">
        <v>43838</v>
      </c>
      <c r="C294" s="1" t="n">
        <v>45637</v>
      </c>
      <c r="D294" t="inlineStr">
        <is>
          <t>KALMAR LÄN</t>
        </is>
      </c>
      <c r="E294" t="inlineStr">
        <is>
          <t>HULTSFRED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1301-2020</t>
        </is>
      </c>
      <c r="B295" s="1" t="n">
        <v>43842</v>
      </c>
      <c r="C295" s="1" t="n">
        <v>45637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1539-2020</t>
        </is>
      </c>
      <c r="B296" s="1" t="n">
        <v>43843</v>
      </c>
      <c r="C296" s="1" t="n">
        <v>45637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2596-2020</t>
        </is>
      </c>
      <c r="B297" s="1" t="n">
        <v>43847</v>
      </c>
      <c r="C297" s="1" t="n">
        <v>45637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2463-2020</t>
        </is>
      </c>
      <c r="B298" s="1" t="n">
        <v>43847</v>
      </c>
      <c r="C298" s="1" t="n">
        <v>45637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2504-2020</t>
        </is>
      </c>
      <c r="B299" s="1" t="n">
        <v>43847</v>
      </c>
      <c r="C299" s="1" t="n">
        <v>45637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4236-2020</t>
        </is>
      </c>
      <c r="B300" s="1" t="n">
        <v>43847</v>
      </c>
      <c r="C300" s="1" t="n">
        <v>45637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4232-2020</t>
        </is>
      </c>
      <c r="B301" s="1" t="n">
        <v>43847</v>
      </c>
      <c r="C301" s="1" t="n">
        <v>45637</v>
      </c>
      <c r="D301" t="inlineStr">
        <is>
          <t>KALMAR LÄN</t>
        </is>
      </c>
      <c r="E301" t="inlineStr">
        <is>
          <t>HULTSFRED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2860-2020</t>
        </is>
      </c>
      <c r="B302" s="1" t="n">
        <v>43850</v>
      </c>
      <c r="C302" s="1" t="n">
        <v>45637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2865-2020</t>
        </is>
      </c>
      <c r="B303" s="1" t="n">
        <v>43850</v>
      </c>
      <c r="C303" s="1" t="n">
        <v>45637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2898-2020</t>
        </is>
      </c>
      <c r="B304" s="1" t="n">
        <v>43850</v>
      </c>
      <c r="C304" s="1" t="n">
        <v>45637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4687-2020</t>
        </is>
      </c>
      <c r="B305" s="1" t="n">
        <v>43858</v>
      </c>
      <c r="C305" s="1" t="n">
        <v>45637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4689-2020</t>
        </is>
      </c>
      <c r="B306" s="1" t="n">
        <v>43858</v>
      </c>
      <c r="C306" s="1" t="n">
        <v>45637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4733-2020</t>
        </is>
      </c>
      <c r="B307" s="1" t="n">
        <v>43859</v>
      </c>
      <c r="C307" s="1" t="n">
        <v>45637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5810-2020</t>
        </is>
      </c>
      <c r="B308" s="1" t="n">
        <v>43864</v>
      </c>
      <c r="C308" s="1" t="n">
        <v>45637</v>
      </c>
      <c r="D308" t="inlineStr">
        <is>
          <t>KALMAR LÄN</t>
        </is>
      </c>
      <c r="E308" t="inlineStr">
        <is>
          <t>HULTSFRED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6133-2020</t>
        </is>
      </c>
      <c r="B309" s="1" t="n">
        <v>43865</v>
      </c>
      <c r="C309" s="1" t="n">
        <v>45637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6135-2020</t>
        </is>
      </c>
      <c r="B310" s="1" t="n">
        <v>43865</v>
      </c>
      <c r="C310" s="1" t="n">
        <v>45637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6793-2020</t>
        </is>
      </c>
      <c r="B311" s="1" t="n">
        <v>43867</v>
      </c>
      <c r="C311" s="1" t="n">
        <v>45637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7746-2020</t>
        </is>
      </c>
      <c r="B312" s="1" t="n">
        <v>43872</v>
      </c>
      <c r="C312" s="1" t="n">
        <v>45637</v>
      </c>
      <c r="D312" t="inlineStr">
        <is>
          <t>KALMAR LÄN</t>
        </is>
      </c>
      <c r="E312" t="inlineStr">
        <is>
          <t>HULTSFRED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7554-2020</t>
        </is>
      </c>
      <c r="B313" s="1" t="n">
        <v>43872</v>
      </c>
      <c r="C313" s="1" t="n">
        <v>45637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7933-2020</t>
        </is>
      </c>
      <c r="B314" s="1" t="n">
        <v>43873</v>
      </c>
      <c r="C314" s="1" t="n">
        <v>45637</v>
      </c>
      <c r="D314" t="inlineStr">
        <is>
          <t>KALMAR LÄN</t>
        </is>
      </c>
      <c r="E314" t="inlineStr">
        <is>
          <t>HULTSFRED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7793-2020</t>
        </is>
      </c>
      <c r="B315" s="1" t="n">
        <v>43873</v>
      </c>
      <c r="C315" s="1" t="n">
        <v>45637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8805-2020</t>
        </is>
      </c>
      <c r="B316" s="1" t="n">
        <v>43878</v>
      </c>
      <c r="C316" s="1" t="n">
        <v>45637</v>
      </c>
      <c r="D316" t="inlineStr">
        <is>
          <t>KALMAR LÄN</t>
        </is>
      </c>
      <c r="E316" t="inlineStr">
        <is>
          <t>HULTSFRED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8818-2020</t>
        </is>
      </c>
      <c r="B317" s="1" t="n">
        <v>43878</v>
      </c>
      <c r="C317" s="1" t="n">
        <v>45637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8999-2020</t>
        </is>
      </c>
      <c r="B318" s="1" t="n">
        <v>43879</v>
      </c>
      <c r="C318" s="1" t="n">
        <v>45637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8996-2020</t>
        </is>
      </c>
      <c r="B319" s="1" t="n">
        <v>43879</v>
      </c>
      <c r="C319" s="1" t="n">
        <v>45637</v>
      </c>
      <c r="D319" t="inlineStr">
        <is>
          <t>KALMAR LÄN</t>
        </is>
      </c>
      <c r="E319" t="inlineStr">
        <is>
          <t>HULTSFRED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9107-2020</t>
        </is>
      </c>
      <c r="B320" s="1" t="n">
        <v>43879</v>
      </c>
      <c r="C320" s="1" t="n">
        <v>45637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9280-2020</t>
        </is>
      </c>
      <c r="B321" s="1" t="n">
        <v>43880</v>
      </c>
      <c r="C321" s="1" t="n">
        <v>45637</v>
      </c>
      <c r="D321" t="inlineStr">
        <is>
          <t>KALMAR LÄN</t>
        </is>
      </c>
      <c r="E321" t="inlineStr">
        <is>
          <t>HULTSFRED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9918-2020</t>
        </is>
      </c>
      <c r="B322" s="1" t="n">
        <v>43882</v>
      </c>
      <c r="C322" s="1" t="n">
        <v>45637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10259-2020</t>
        </is>
      </c>
      <c r="B323" s="1" t="n">
        <v>43885</v>
      </c>
      <c r="C323" s="1" t="n">
        <v>45637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11181-2020</t>
        </is>
      </c>
      <c r="B324" s="1" t="n">
        <v>43886</v>
      </c>
      <c r="C324" s="1" t="n">
        <v>45637</v>
      </c>
      <c r="D324" t="inlineStr">
        <is>
          <t>KALMAR LÄN</t>
        </is>
      </c>
      <c r="E324" t="inlineStr">
        <is>
          <t>HULTSFRED</t>
        </is>
      </c>
      <c r="G324" t="n">
        <v>21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10677-2020</t>
        </is>
      </c>
      <c r="B325" s="1" t="n">
        <v>43887</v>
      </c>
      <c r="C325" s="1" t="n">
        <v>45637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10867-2020</t>
        </is>
      </c>
      <c r="B326" s="1" t="n">
        <v>43889</v>
      </c>
      <c r="C326" s="1" t="n">
        <v>45637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10869-2020</t>
        </is>
      </c>
      <c r="B327" s="1" t="n">
        <v>43889</v>
      </c>
      <c r="C327" s="1" t="n">
        <v>45637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11196-2020</t>
        </is>
      </c>
      <c r="B328" s="1" t="n">
        <v>43892</v>
      </c>
      <c r="C328" s="1" t="n">
        <v>45637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14174-2020</t>
        </is>
      </c>
      <c r="B329" s="1" t="n">
        <v>43899</v>
      </c>
      <c r="C329" s="1" t="n">
        <v>45637</v>
      </c>
      <c r="D329" t="inlineStr">
        <is>
          <t>KALMAR LÄN</t>
        </is>
      </c>
      <c r="E329" t="inlineStr">
        <is>
          <t>HULTSFRED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13045-2020</t>
        </is>
      </c>
      <c r="B330" s="1" t="n">
        <v>43900</v>
      </c>
      <c r="C330" s="1" t="n">
        <v>45637</v>
      </c>
      <c r="D330" t="inlineStr">
        <is>
          <t>KALMAR LÄN</t>
        </is>
      </c>
      <c r="E330" t="inlineStr">
        <is>
          <t>HULTSFRED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13046-2020</t>
        </is>
      </c>
      <c r="B331" s="1" t="n">
        <v>43900</v>
      </c>
      <c r="C331" s="1" t="n">
        <v>45637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13550-2020</t>
        </is>
      </c>
      <c r="B332" s="1" t="n">
        <v>43902</v>
      </c>
      <c r="C332" s="1" t="n">
        <v>45637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14002-2020</t>
        </is>
      </c>
      <c r="B333" s="1" t="n">
        <v>43906</v>
      </c>
      <c r="C333" s="1" t="n">
        <v>45637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14178-2020</t>
        </is>
      </c>
      <c r="B334" s="1" t="n">
        <v>43907</v>
      </c>
      <c r="C334" s="1" t="n">
        <v>45637</v>
      </c>
      <c r="D334" t="inlineStr">
        <is>
          <t>KALMAR LÄN</t>
        </is>
      </c>
      <c r="E334" t="inlineStr">
        <is>
          <t>HULTSFRED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14960-2020</t>
        </is>
      </c>
      <c r="B335" s="1" t="n">
        <v>43910</v>
      </c>
      <c r="C335" s="1" t="n">
        <v>45637</v>
      </c>
      <c r="D335" t="inlineStr">
        <is>
          <t>KALMAR LÄN</t>
        </is>
      </c>
      <c r="E335" t="inlineStr">
        <is>
          <t>HULTSFRED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16832-2020</t>
        </is>
      </c>
      <c r="B336" s="1" t="n">
        <v>43910</v>
      </c>
      <c r="C336" s="1" t="n">
        <v>45637</v>
      </c>
      <c r="D336" t="inlineStr">
        <is>
          <t>KALMAR LÄN</t>
        </is>
      </c>
      <c r="E336" t="inlineStr">
        <is>
          <t>HULTSFRED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15350-2020</t>
        </is>
      </c>
      <c r="B337" s="1" t="n">
        <v>43913</v>
      </c>
      <c r="C337" s="1" t="n">
        <v>45637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15356-2020</t>
        </is>
      </c>
      <c r="B338" s="1" t="n">
        <v>43913</v>
      </c>
      <c r="C338" s="1" t="n">
        <v>45637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15352-2020</t>
        </is>
      </c>
      <c r="B339" s="1" t="n">
        <v>43913</v>
      </c>
      <c r="C339" s="1" t="n">
        <v>45637</v>
      </c>
      <c r="D339" t="inlineStr">
        <is>
          <t>KALMAR LÄN</t>
        </is>
      </c>
      <c r="E339" t="inlineStr">
        <is>
          <t>HULTSFRED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15206-2020</t>
        </is>
      </c>
      <c r="B340" s="1" t="n">
        <v>43913</v>
      </c>
      <c r="C340" s="1" t="n">
        <v>45637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15981-2020</t>
        </is>
      </c>
      <c r="B341" s="1" t="n">
        <v>43916</v>
      </c>
      <c r="C341" s="1" t="n">
        <v>45637</v>
      </c>
      <c r="D341" t="inlineStr">
        <is>
          <t>KALMAR LÄN</t>
        </is>
      </c>
      <c r="E341" t="inlineStr">
        <is>
          <t>HULTSFRED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16934-2020</t>
        </is>
      </c>
      <c r="B342" s="1" t="n">
        <v>43921</v>
      </c>
      <c r="C342" s="1" t="n">
        <v>45637</v>
      </c>
      <c r="D342" t="inlineStr">
        <is>
          <t>KALMAR LÄN</t>
        </is>
      </c>
      <c r="E342" t="inlineStr">
        <is>
          <t>HULTSFRED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16850-2020</t>
        </is>
      </c>
      <c r="B343" s="1" t="n">
        <v>43921</v>
      </c>
      <c r="C343" s="1" t="n">
        <v>45637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17058-2020</t>
        </is>
      </c>
      <c r="B344" s="1" t="n">
        <v>43921</v>
      </c>
      <c r="C344" s="1" t="n">
        <v>45637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17119-2020</t>
        </is>
      </c>
      <c r="B345" s="1" t="n">
        <v>43922</v>
      </c>
      <c r="C345" s="1" t="n">
        <v>45637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17928-2020</t>
        </is>
      </c>
      <c r="B346" s="1" t="n">
        <v>43924</v>
      </c>
      <c r="C346" s="1" t="n">
        <v>45637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17938-2020</t>
        </is>
      </c>
      <c r="B347" s="1" t="n">
        <v>43924</v>
      </c>
      <c r="C347" s="1" t="n">
        <v>45637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17933-2020</t>
        </is>
      </c>
      <c r="B348" s="1" t="n">
        <v>43924</v>
      </c>
      <c r="C348" s="1" t="n">
        <v>45637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17937-2020</t>
        </is>
      </c>
      <c r="B349" s="1" t="n">
        <v>43924</v>
      </c>
      <c r="C349" s="1" t="n">
        <v>45637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17932-2020</t>
        </is>
      </c>
      <c r="B350" s="1" t="n">
        <v>43924</v>
      </c>
      <c r="C350" s="1" t="n">
        <v>45637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18465-2020</t>
        </is>
      </c>
      <c r="B351" s="1" t="n">
        <v>43929</v>
      </c>
      <c r="C351" s="1" t="n">
        <v>45637</v>
      </c>
      <c r="D351" t="inlineStr">
        <is>
          <t>KALMAR LÄN</t>
        </is>
      </c>
      <c r="E351" t="inlineStr">
        <is>
          <t>HULTSFRED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19069-2020</t>
        </is>
      </c>
      <c r="B352" s="1" t="n">
        <v>43936</v>
      </c>
      <c r="C352" s="1" t="n">
        <v>45637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20029-2020</t>
        </is>
      </c>
      <c r="B353" s="1" t="n">
        <v>43943</v>
      </c>
      <c r="C353" s="1" t="n">
        <v>45637</v>
      </c>
      <c r="D353" t="inlineStr">
        <is>
          <t>KALMAR LÄN</t>
        </is>
      </c>
      <c r="E353" t="inlineStr">
        <is>
          <t>HULTSFRED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21205-2020</t>
        </is>
      </c>
      <c r="B354" s="1" t="n">
        <v>43951</v>
      </c>
      <c r="C354" s="1" t="n">
        <v>45637</v>
      </c>
      <c r="D354" t="inlineStr">
        <is>
          <t>KALMAR LÄN</t>
        </is>
      </c>
      <c r="E354" t="inlineStr">
        <is>
          <t>HULTSFRED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21206-2020</t>
        </is>
      </c>
      <c r="B355" s="1" t="n">
        <v>43951</v>
      </c>
      <c r="C355" s="1" t="n">
        <v>45637</v>
      </c>
      <c r="D355" t="inlineStr">
        <is>
          <t>KALMAR LÄN</t>
        </is>
      </c>
      <c r="E355" t="inlineStr">
        <is>
          <t>HULTSFRED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21273-2020</t>
        </is>
      </c>
      <c r="B356" s="1" t="n">
        <v>43955</v>
      </c>
      <c r="C356" s="1" t="n">
        <v>45637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21788-2020</t>
        </is>
      </c>
      <c r="B357" s="1" t="n">
        <v>43958</v>
      </c>
      <c r="C357" s="1" t="n">
        <v>45637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22119-2020</t>
        </is>
      </c>
      <c r="B358" s="1" t="n">
        <v>43960</v>
      </c>
      <c r="C358" s="1" t="n">
        <v>45637</v>
      </c>
      <c r="D358" t="inlineStr">
        <is>
          <t>KALMAR LÄN</t>
        </is>
      </c>
      <c r="E358" t="inlineStr">
        <is>
          <t>HULTSFRED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22118-2020</t>
        </is>
      </c>
      <c r="B359" s="1" t="n">
        <v>43960</v>
      </c>
      <c r="C359" s="1" t="n">
        <v>45637</v>
      </c>
      <c r="D359" t="inlineStr">
        <is>
          <t>KALMAR LÄN</t>
        </is>
      </c>
      <c r="E359" t="inlineStr">
        <is>
          <t>HULTSFRED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23061-2020</t>
        </is>
      </c>
      <c r="B360" s="1" t="n">
        <v>43964</v>
      </c>
      <c r="C360" s="1" t="n">
        <v>45637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23064-2020</t>
        </is>
      </c>
      <c r="B361" s="1" t="n">
        <v>43964</v>
      </c>
      <c r="C361" s="1" t="n">
        <v>45637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22985-2020</t>
        </is>
      </c>
      <c r="B362" s="1" t="n">
        <v>43965</v>
      </c>
      <c r="C362" s="1" t="n">
        <v>45637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22989-2020</t>
        </is>
      </c>
      <c r="B363" s="1" t="n">
        <v>43965</v>
      </c>
      <c r="C363" s="1" t="n">
        <v>45637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23436-2020</t>
        </is>
      </c>
      <c r="B364" s="1" t="n">
        <v>43969</v>
      </c>
      <c r="C364" s="1" t="n">
        <v>45637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23472-2020</t>
        </is>
      </c>
      <c r="B365" s="1" t="n">
        <v>43969</v>
      </c>
      <c r="C365" s="1" t="n">
        <v>45637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23754-2020</t>
        </is>
      </c>
      <c r="B366" s="1" t="n">
        <v>43970</v>
      </c>
      <c r="C366" s="1" t="n">
        <v>45637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23761-2020</t>
        </is>
      </c>
      <c r="B367" s="1" t="n">
        <v>43970</v>
      </c>
      <c r="C367" s="1" t="n">
        <v>45637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23939-2020</t>
        </is>
      </c>
      <c r="B368" s="1" t="n">
        <v>43971</v>
      </c>
      <c r="C368" s="1" t="n">
        <v>45637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23931-2020</t>
        </is>
      </c>
      <c r="B369" s="1" t="n">
        <v>43971</v>
      </c>
      <c r="C369" s="1" t="n">
        <v>45637</v>
      </c>
      <c r="D369" t="inlineStr">
        <is>
          <t>KALMAR LÄN</t>
        </is>
      </c>
      <c r="E369" t="inlineStr">
        <is>
          <t>HULTSFRED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24441-2020</t>
        </is>
      </c>
      <c r="B370" s="1" t="n">
        <v>43977</v>
      </c>
      <c r="C370" s="1" t="n">
        <v>45637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24447-2020</t>
        </is>
      </c>
      <c r="B371" s="1" t="n">
        <v>43977</v>
      </c>
      <c r="C371" s="1" t="n">
        <v>45637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24442-2020</t>
        </is>
      </c>
      <c r="B372" s="1" t="n">
        <v>43977</v>
      </c>
      <c r="C372" s="1" t="n">
        <v>45637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26327-2020</t>
        </is>
      </c>
      <c r="B373" s="1" t="n">
        <v>43986</v>
      </c>
      <c r="C373" s="1" t="n">
        <v>45637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26207-2020</t>
        </is>
      </c>
      <c r="B374" s="1" t="n">
        <v>43986</v>
      </c>
      <c r="C374" s="1" t="n">
        <v>45637</v>
      </c>
      <c r="D374" t="inlineStr">
        <is>
          <t>KALMAR LÄN</t>
        </is>
      </c>
      <c r="E374" t="inlineStr">
        <is>
          <t>HULTSFRED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27701-2020</t>
        </is>
      </c>
      <c r="B375" s="1" t="n">
        <v>43994</v>
      </c>
      <c r="C375" s="1" t="n">
        <v>45637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28722-2020</t>
        </is>
      </c>
      <c r="B376" s="1" t="n">
        <v>43999</v>
      </c>
      <c r="C376" s="1" t="n">
        <v>45637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29122-2020</t>
        </is>
      </c>
      <c r="B377" s="1" t="n">
        <v>44004</v>
      </c>
      <c r="C377" s="1" t="n">
        <v>45637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31414-2020</t>
        </is>
      </c>
      <c r="B378" s="1" t="n">
        <v>44012</v>
      </c>
      <c r="C378" s="1" t="n">
        <v>45637</v>
      </c>
      <c r="D378" t="inlineStr">
        <is>
          <t>KALMAR LÄN</t>
        </is>
      </c>
      <c r="E378" t="inlineStr">
        <is>
          <t>HULTSFRED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31669-2020</t>
        </is>
      </c>
      <c r="B379" s="1" t="n">
        <v>44014</v>
      </c>
      <c r="C379" s="1" t="n">
        <v>45637</v>
      </c>
      <c r="D379" t="inlineStr">
        <is>
          <t>KALMAR LÄN</t>
        </is>
      </c>
      <c r="E379" t="inlineStr">
        <is>
          <t>HULTSFRED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32414-2020</t>
        </is>
      </c>
      <c r="B380" s="1" t="n">
        <v>44018</v>
      </c>
      <c r="C380" s="1" t="n">
        <v>45637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32404-2020</t>
        </is>
      </c>
      <c r="B381" s="1" t="n">
        <v>44018</v>
      </c>
      <c r="C381" s="1" t="n">
        <v>45637</v>
      </c>
      <c r="D381" t="inlineStr">
        <is>
          <t>KALMAR LÄN</t>
        </is>
      </c>
      <c r="E381" t="inlineStr">
        <is>
          <t>HULTSFRED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32426-2020</t>
        </is>
      </c>
      <c r="B382" s="1" t="n">
        <v>44018</v>
      </c>
      <c r="C382" s="1" t="n">
        <v>45637</v>
      </c>
      <c r="D382" t="inlineStr">
        <is>
          <t>KALMAR LÄN</t>
        </is>
      </c>
      <c r="E382" t="inlineStr">
        <is>
          <t>HULTSFRED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32487-2020</t>
        </is>
      </c>
      <c r="B383" s="1" t="n">
        <v>44018</v>
      </c>
      <c r="C383" s="1" t="n">
        <v>45637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32472-2020</t>
        </is>
      </c>
      <c r="B384" s="1" t="n">
        <v>44018</v>
      </c>
      <c r="C384" s="1" t="n">
        <v>45637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32888-2020</t>
        </is>
      </c>
      <c r="B385" s="1" t="n">
        <v>44020</v>
      </c>
      <c r="C385" s="1" t="n">
        <v>45637</v>
      </c>
      <c r="D385" t="inlineStr">
        <is>
          <t>KALMAR LÄN</t>
        </is>
      </c>
      <c r="E385" t="inlineStr">
        <is>
          <t>HULTSFRED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33036-2020</t>
        </is>
      </c>
      <c r="B386" s="1" t="n">
        <v>44021</v>
      </c>
      <c r="C386" s="1" t="n">
        <v>45637</v>
      </c>
      <c r="D386" t="inlineStr">
        <is>
          <t>KALMAR LÄN</t>
        </is>
      </c>
      <c r="E386" t="inlineStr">
        <is>
          <t>HULTSFRED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33335-2020</t>
        </is>
      </c>
      <c r="B387" s="1" t="n">
        <v>44022</v>
      </c>
      <c r="C387" s="1" t="n">
        <v>45637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33258-2020</t>
        </is>
      </c>
      <c r="B388" s="1" t="n">
        <v>44022</v>
      </c>
      <c r="C388" s="1" t="n">
        <v>45637</v>
      </c>
      <c r="D388" t="inlineStr">
        <is>
          <t>KALMAR LÄN</t>
        </is>
      </c>
      <c r="E388" t="inlineStr">
        <is>
          <t>HULTSFRED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33702-2020</t>
        </is>
      </c>
      <c r="B389" s="1" t="n">
        <v>44026</v>
      </c>
      <c r="C389" s="1" t="n">
        <v>45637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33912-2020</t>
        </is>
      </c>
      <c r="B390" s="1" t="n">
        <v>44027</v>
      </c>
      <c r="C390" s="1" t="n">
        <v>45637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34343-2020</t>
        </is>
      </c>
      <c r="B391" s="1" t="n">
        <v>44028</v>
      </c>
      <c r="C391" s="1" t="n">
        <v>45637</v>
      </c>
      <c r="D391" t="inlineStr">
        <is>
          <t>KALMAR LÄN</t>
        </is>
      </c>
      <c r="E391" t="inlineStr">
        <is>
          <t>HULTSFRED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34564-2020</t>
        </is>
      </c>
      <c r="B392" s="1" t="n">
        <v>44033</v>
      </c>
      <c r="C392" s="1" t="n">
        <v>45637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34601-2020</t>
        </is>
      </c>
      <c r="B393" s="1" t="n">
        <v>44034</v>
      </c>
      <c r="C393" s="1" t="n">
        <v>45637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34881-2020</t>
        </is>
      </c>
      <c r="B394" s="1" t="n">
        <v>44036</v>
      </c>
      <c r="C394" s="1" t="n">
        <v>45637</v>
      </c>
      <c r="D394" t="inlineStr">
        <is>
          <t>KALMAR LÄN</t>
        </is>
      </c>
      <c r="E394" t="inlineStr">
        <is>
          <t>HULTSFRED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35204-2020</t>
        </is>
      </c>
      <c r="B395" s="1" t="n">
        <v>44040</v>
      </c>
      <c r="C395" s="1" t="n">
        <v>45637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35386-2020</t>
        </is>
      </c>
      <c r="B396" s="1" t="n">
        <v>44042</v>
      </c>
      <c r="C396" s="1" t="n">
        <v>45637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35822-2020</t>
        </is>
      </c>
      <c r="B397" s="1" t="n">
        <v>44047</v>
      </c>
      <c r="C397" s="1" t="n">
        <v>45637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35844-2020</t>
        </is>
      </c>
      <c r="B398" s="1" t="n">
        <v>44047</v>
      </c>
      <c r="C398" s="1" t="n">
        <v>45637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35862-2020</t>
        </is>
      </c>
      <c r="B399" s="1" t="n">
        <v>44047</v>
      </c>
      <c r="C399" s="1" t="n">
        <v>45637</v>
      </c>
      <c r="D399" t="inlineStr">
        <is>
          <t>KALMAR LÄN</t>
        </is>
      </c>
      <c r="E399" t="inlineStr">
        <is>
          <t>HULTSFRED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36215-2020</t>
        </is>
      </c>
      <c r="B400" s="1" t="n">
        <v>44048</v>
      </c>
      <c r="C400" s="1" t="n">
        <v>45637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36508-2020</t>
        </is>
      </c>
      <c r="B401" s="1" t="n">
        <v>44050</v>
      </c>
      <c r="C401" s="1" t="n">
        <v>45637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36726-2020</t>
        </is>
      </c>
      <c r="B402" s="1" t="n">
        <v>44053</v>
      </c>
      <c r="C402" s="1" t="n">
        <v>45637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36719-2020</t>
        </is>
      </c>
      <c r="B403" s="1" t="n">
        <v>44053</v>
      </c>
      <c r="C403" s="1" t="n">
        <v>45637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36837-2020</t>
        </is>
      </c>
      <c r="B404" s="1" t="n">
        <v>44053</v>
      </c>
      <c r="C404" s="1" t="n">
        <v>45637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36743-2020</t>
        </is>
      </c>
      <c r="B405" s="1" t="n">
        <v>44053</v>
      </c>
      <c r="C405" s="1" t="n">
        <v>45637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36931-2020</t>
        </is>
      </c>
      <c r="B406" s="1" t="n">
        <v>44053</v>
      </c>
      <c r="C406" s="1" t="n">
        <v>45637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36930-2020</t>
        </is>
      </c>
      <c r="B407" s="1" t="n">
        <v>44053</v>
      </c>
      <c r="C407" s="1" t="n">
        <v>45637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36927-2020</t>
        </is>
      </c>
      <c r="B408" s="1" t="n">
        <v>44053</v>
      </c>
      <c r="C408" s="1" t="n">
        <v>45637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36841-2020</t>
        </is>
      </c>
      <c r="B409" s="1" t="n">
        <v>44053</v>
      </c>
      <c r="C409" s="1" t="n">
        <v>45637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38248-2020</t>
        </is>
      </c>
      <c r="B410" s="1" t="n">
        <v>44060</v>
      </c>
      <c r="C410" s="1" t="n">
        <v>45637</v>
      </c>
      <c r="D410" t="inlineStr">
        <is>
          <t>KALMAR LÄN</t>
        </is>
      </c>
      <c r="E410" t="inlineStr">
        <is>
          <t>HULTSFRED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38639-2020</t>
        </is>
      </c>
      <c r="B411" s="1" t="n">
        <v>44061</v>
      </c>
      <c r="C411" s="1" t="n">
        <v>45637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38763-2020</t>
        </is>
      </c>
      <c r="B412" s="1" t="n">
        <v>44061</v>
      </c>
      <c r="C412" s="1" t="n">
        <v>45637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38764-2020</t>
        </is>
      </c>
      <c r="B413" s="1" t="n">
        <v>44061</v>
      </c>
      <c r="C413" s="1" t="n">
        <v>45637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38937-2020</t>
        </is>
      </c>
      <c r="B414" s="1" t="n">
        <v>44062</v>
      </c>
      <c r="C414" s="1" t="n">
        <v>45637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39313-2020</t>
        </is>
      </c>
      <c r="B415" s="1" t="n">
        <v>44063</v>
      </c>
      <c r="C415" s="1" t="n">
        <v>45637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39865-2020</t>
        </is>
      </c>
      <c r="B416" s="1" t="n">
        <v>44063</v>
      </c>
      <c r="C416" s="1" t="n">
        <v>45637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39596-2020</t>
        </is>
      </c>
      <c r="B417" s="1" t="n">
        <v>44064</v>
      </c>
      <c r="C417" s="1" t="n">
        <v>45637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39760-2020</t>
        </is>
      </c>
      <c r="B418" s="1" t="n">
        <v>44067</v>
      </c>
      <c r="C418" s="1" t="n">
        <v>45637</v>
      </c>
      <c r="D418" t="inlineStr">
        <is>
          <t>KALMAR LÄN</t>
        </is>
      </c>
      <c r="E418" t="inlineStr">
        <is>
          <t>HULTSFRED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40095-2020</t>
        </is>
      </c>
      <c r="B419" s="1" t="n">
        <v>44068</v>
      </c>
      <c r="C419" s="1" t="n">
        <v>45637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40118-2020</t>
        </is>
      </c>
      <c r="B420" s="1" t="n">
        <v>44068</v>
      </c>
      <c r="C420" s="1" t="n">
        <v>45637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40366-2020</t>
        </is>
      </c>
      <c r="B421" s="1" t="n">
        <v>44068</v>
      </c>
      <c r="C421" s="1" t="n">
        <v>45637</v>
      </c>
      <c r="D421" t="inlineStr">
        <is>
          <t>KALMAR LÄN</t>
        </is>
      </c>
      <c r="E421" t="inlineStr">
        <is>
          <t>HULTSFRED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40630-2020</t>
        </is>
      </c>
      <c r="B422" s="1" t="n">
        <v>44069</v>
      </c>
      <c r="C422" s="1" t="n">
        <v>45637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41238-2020</t>
        </is>
      </c>
      <c r="B423" s="1" t="n">
        <v>44071</v>
      </c>
      <c r="C423" s="1" t="n">
        <v>45637</v>
      </c>
      <c r="D423" t="inlineStr">
        <is>
          <t>KALMAR LÄN</t>
        </is>
      </c>
      <c r="E423" t="inlineStr">
        <is>
          <t>HULTSFRED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41284-2020</t>
        </is>
      </c>
      <c r="B424" s="1" t="n">
        <v>44071</v>
      </c>
      <c r="C424" s="1" t="n">
        <v>45637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42069-2020</t>
        </is>
      </c>
      <c r="B425" s="1" t="n">
        <v>44075</v>
      </c>
      <c r="C425" s="1" t="n">
        <v>45637</v>
      </c>
      <c r="D425" t="inlineStr">
        <is>
          <t>KALMAR LÄN</t>
        </is>
      </c>
      <c r="E425" t="inlineStr">
        <is>
          <t>HULTSFRED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42073-2020</t>
        </is>
      </c>
      <c r="B426" s="1" t="n">
        <v>44075</v>
      </c>
      <c r="C426" s="1" t="n">
        <v>45637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42255-2020</t>
        </is>
      </c>
      <c r="B427" s="1" t="n">
        <v>44076</v>
      </c>
      <c r="C427" s="1" t="n">
        <v>45637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42259-2020</t>
        </is>
      </c>
      <c r="B428" s="1" t="n">
        <v>44076</v>
      </c>
      <c r="C428" s="1" t="n">
        <v>45637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43382-2020</t>
        </is>
      </c>
      <c r="B429" s="1" t="n">
        <v>44081</v>
      </c>
      <c r="C429" s="1" t="n">
        <v>45637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43918-2020</t>
        </is>
      </c>
      <c r="B430" s="1" t="n">
        <v>44083</v>
      </c>
      <c r="C430" s="1" t="n">
        <v>45637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44413-2020</t>
        </is>
      </c>
      <c r="B431" s="1" t="n">
        <v>44084</v>
      </c>
      <c r="C431" s="1" t="n">
        <v>45637</v>
      </c>
      <c r="D431" t="inlineStr">
        <is>
          <t>KALMAR LÄN</t>
        </is>
      </c>
      <c r="E431" t="inlineStr">
        <is>
          <t>HULTSFRED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44285-2020</t>
        </is>
      </c>
      <c r="B432" s="1" t="n">
        <v>44084</v>
      </c>
      <c r="C432" s="1" t="n">
        <v>45637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44277-2020</t>
        </is>
      </c>
      <c r="B433" s="1" t="n">
        <v>44084</v>
      </c>
      <c r="C433" s="1" t="n">
        <v>45637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44865-2020</t>
        </is>
      </c>
      <c r="B434" s="1" t="n">
        <v>44087</v>
      </c>
      <c r="C434" s="1" t="n">
        <v>45637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44868-2020</t>
        </is>
      </c>
      <c r="B435" s="1" t="n">
        <v>44087</v>
      </c>
      <c r="C435" s="1" t="n">
        <v>45637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45692-2020</t>
        </is>
      </c>
      <c r="B436" s="1" t="n">
        <v>44090</v>
      </c>
      <c r="C436" s="1" t="n">
        <v>45637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45672-2020</t>
        </is>
      </c>
      <c r="B437" s="1" t="n">
        <v>44090</v>
      </c>
      <c r="C437" s="1" t="n">
        <v>45637</v>
      </c>
      <c r="D437" t="inlineStr">
        <is>
          <t>KALMAR LÄN</t>
        </is>
      </c>
      <c r="E437" t="inlineStr">
        <is>
          <t>HULTSFRED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45934-2020</t>
        </is>
      </c>
      <c r="B438" s="1" t="n">
        <v>44091</v>
      </c>
      <c r="C438" s="1" t="n">
        <v>45637</v>
      </c>
      <c r="D438" t="inlineStr">
        <is>
          <t>KALMAR LÄN</t>
        </is>
      </c>
      <c r="E438" t="inlineStr">
        <is>
          <t>HULTSFRED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47273-2020</t>
        </is>
      </c>
      <c r="B439" s="1" t="n">
        <v>44092</v>
      </c>
      <c r="C439" s="1" t="n">
        <v>45637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47339-2020</t>
        </is>
      </c>
      <c r="B440" s="1" t="n">
        <v>44097</v>
      </c>
      <c r="C440" s="1" t="n">
        <v>45637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47445-2020</t>
        </is>
      </c>
      <c r="B441" s="1" t="n">
        <v>44097</v>
      </c>
      <c r="C441" s="1" t="n">
        <v>45637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47347-2020</t>
        </is>
      </c>
      <c r="B442" s="1" t="n">
        <v>44097</v>
      </c>
      <c r="C442" s="1" t="n">
        <v>45637</v>
      </c>
      <c r="D442" t="inlineStr">
        <is>
          <t>KALMAR LÄN</t>
        </is>
      </c>
      <c r="E442" t="inlineStr">
        <is>
          <t>HULTSFRED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48046-2020</t>
        </is>
      </c>
      <c r="B443" s="1" t="n">
        <v>44099</v>
      </c>
      <c r="C443" s="1" t="n">
        <v>45637</v>
      </c>
      <c r="D443" t="inlineStr">
        <is>
          <t>KALMAR LÄN</t>
        </is>
      </c>
      <c r="E443" t="inlineStr">
        <is>
          <t>HULTSFRED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49426-2020</t>
        </is>
      </c>
      <c r="B444" s="1" t="n">
        <v>44105</v>
      </c>
      <c r="C444" s="1" t="n">
        <v>45637</v>
      </c>
      <c r="D444" t="inlineStr">
        <is>
          <t>KALMAR LÄN</t>
        </is>
      </c>
      <c r="E444" t="inlineStr">
        <is>
          <t>HULTSFRED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49603-2020</t>
        </is>
      </c>
      <c r="B445" s="1" t="n">
        <v>44106</v>
      </c>
      <c r="C445" s="1" t="n">
        <v>45637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49766-2020</t>
        </is>
      </c>
      <c r="B446" s="1" t="n">
        <v>44106</v>
      </c>
      <c r="C446" s="1" t="n">
        <v>45637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50451-2020</t>
        </is>
      </c>
      <c r="B447" s="1" t="n">
        <v>44110</v>
      </c>
      <c r="C447" s="1" t="n">
        <v>45637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50509-2020</t>
        </is>
      </c>
      <c r="B448" s="1" t="n">
        <v>44110</v>
      </c>
      <c r="C448" s="1" t="n">
        <v>45637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50967-2020</t>
        </is>
      </c>
      <c r="B449" s="1" t="n">
        <v>44111</v>
      </c>
      <c r="C449" s="1" t="n">
        <v>45637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51548-2020</t>
        </is>
      </c>
      <c r="B450" s="1" t="n">
        <v>44113</v>
      </c>
      <c r="C450" s="1" t="n">
        <v>45637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52518-2020</t>
        </is>
      </c>
      <c r="B451" s="1" t="n">
        <v>44118</v>
      </c>
      <c r="C451" s="1" t="n">
        <v>45637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53701-2020</t>
        </is>
      </c>
      <c r="B452" s="1" t="n">
        <v>44124</v>
      </c>
      <c r="C452" s="1" t="n">
        <v>45637</v>
      </c>
      <c r="D452" t="inlineStr">
        <is>
          <t>KALMAR LÄN</t>
        </is>
      </c>
      <c r="E452" t="inlineStr">
        <is>
          <t>HULTSFRED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54525-2020</t>
        </is>
      </c>
      <c r="B453" s="1" t="n">
        <v>44126</v>
      </c>
      <c r="C453" s="1" t="n">
        <v>45637</v>
      </c>
      <c r="D453" t="inlineStr">
        <is>
          <t>KALMAR LÄN</t>
        </is>
      </c>
      <c r="E453" t="inlineStr">
        <is>
          <t>HULTSFRED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54529-2020</t>
        </is>
      </c>
      <c r="B454" s="1" t="n">
        <v>44126</v>
      </c>
      <c r="C454" s="1" t="n">
        <v>45637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54489-2020</t>
        </is>
      </c>
      <c r="B455" s="1" t="n">
        <v>44126</v>
      </c>
      <c r="C455" s="1" t="n">
        <v>45637</v>
      </c>
      <c r="D455" t="inlineStr">
        <is>
          <t>KALMAR LÄN</t>
        </is>
      </c>
      <c r="E455" t="inlineStr">
        <is>
          <t>HULTSFRED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55011-2020</t>
        </is>
      </c>
      <c r="B456" s="1" t="n">
        <v>44130</v>
      </c>
      <c r="C456" s="1" t="n">
        <v>45637</v>
      </c>
      <c r="D456" t="inlineStr">
        <is>
          <t>KALMAR LÄN</t>
        </is>
      </c>
      <c r="E456" t="inlineStr">
        <is>
          <t>HULTSFRED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55748-2020</t>
        </is>
      </c>
      <c r="B457" s="1" t="n">
        <v>44132</v>
      </c>
      <c r="C457" s="1" t="n">
        <v>45637</v>
      </c>
      <c r="D457" t="inlineStr">
        <is>
          <t>KALMAR LÄN</t>
        </is>
      </c>
      <c r="E457" t="inlineStr">
        <is>
          <t>HULTSFRED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56321-2020</t>
        </is>
      </c>
      <c r="B458" s="1" t="n">
        <v>44134</v>
      </c>
      <c r="C458" s="1" t="n">
        <v>45637</v>
      </c>
      <c r="D458" t="inlineStr">
        <is>
          <t>KALMAR LÄN</t>
        </is>
      </c>
      <c r="E458" t="inlineStr">
        <is>
          <t>HULTSFRED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56571-2020</t>
        </is>
      </c>
      <c r="B459" s="1" t="n">
        <v>44137</v>
      </c>
      <c r="C459" s="1" t="n">
        <v>45637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58938-2020</t>
        </is>
      </c>
      <c r="B460" s="1" t="n">
        <v>44146</v>
      </c>
      <c r="C460" s="1" t="n">
        <v>45637</v>
      </c>
      <c r="D460" t="inlineStr">
        <is>
          <t>KALMAR LÄN</t>
        </is>
      </c>
      <c r="E460" t="inlineStr">
        <is>
          <t>HULTSFRED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58836-2020</t>
        </is>
      </c>
      <c r="B461" s="1" t="n">
        <v>44146</v>
      </c>
      <c r="C461" s="1" t="n">
        <v>45637</v>
      </c>
      <c r="D461" t="inlineStr">
        <is>
          <t>KALMAR LÄN</t>
        </is>
      </c>
      <c r="E461" t="inlineStr">
        <is>
          <t>HULTSFRED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59757-2020</t>
        </is>
      </c>
      <c r="B462" s="1" t="n">
        <v>44151</v>
      </c>
      <c r="C462" s="1" t="n">
        <v>45637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60124-2020</t>
        </is>
      </c>
      <c r="B463" s="1" t="n">
        <v>44151</v>
      </c>
      <c r="C463" s="1" t="n">
        <v>45637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60188-2020</t>
        </is>
      </c>
      <c r="B464" s="1" t="n">
        <v>44151</v>
      </c>
      <c r="C464" s="1" t="n">
        <v>45637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61104-2020</t>
        </is>
      </c>
      <c r="B465" s="1" t="n">
        <v>44154</v>
      </c>
      <c r="C465" s="1" t="n">
        <v>45637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62188-2020</t>
        </is>
      </c>
      <c r="B466" s="1" t="n">
        <v>44159</v>
      </c>
      <c r="C466" s="1" t="n">
        <v>45637</v>
      </c>
      <c r="D466" t="inlineStr">
        <is>
          <t>KALMAR LÄN</t>
        </is>
      </c>
      <c r="E466" t="inlineStr">
        <is>
          <t>HULTSFRED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63064-2020</t>
        </is>
      </c>
      <c r="B467" s="1" t="n">
        <v>44162</v>
      </c>
      <c r="C467" s="1" t="n">
        <v>45637</v>
      </c>
      <c r="D467" t="inlineStr">
        <is>
          <t>KALMAR LÄN</t>
        </is>
      </c>
      <c r="E467" t="inlineStr">
        <is>
          <t>HULTSFRED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62997-2020</t>
        </is>
      </c>
      <c r="B468" s="1" t="n">
        <v>44162</v>
      </c>
      <c r="C468" s="1" t="n">
        <v>45637</v>
      </c>
      <c r="D468" t="inlineStr">
        <is>
          <t>KALMAR LÄN</t>
        </is>
      </c>
      <c r="E468" t="inlineStr">
        <is>
          <t>HULTSFRED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65682-2020</t>
        </is>
      </c>
      <c r="B469" s="1" t="n">
        <v>44172</v>
      </c>
      <c r="C469" s="1" t="n">
        <v>45637</v>
      </c>
      <c r="D469" t="inlineStr">
        <is>
          <t>KALMAR LÄN</t>
        </is>
      </c>
      <c r="E469" t="inlineStr">
        <is>
          <t>HULTSFRED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66559-2020</t>
        </is>
      </c>
      <c r="B470" s="1" t="n">
        <v>44179</v>
      </c>
      <c r="C470" s="1" t="n">
        <v>45637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67857-2020</t>
        </is>
      </c>
      <c r="B471" s="1" t="n">
        <v>44182</v>
      </c>
      <c r="C471" s="1" t="n">
        <v>45637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67881-2020</t>
        </is>
      </c>
      <c r="B472" s="1" t="n">
        <v>44182</v>
      </c>
      <c r="C472" s="1" t="n">
        <v>45637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68234-2020</t>
        </is>
      </c>
      <c r="B473" s="1" t="n">
        <v>44183</v>
      </c>
      <c r="C473" s="1" t="n">
        <v>45637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68351-2020</t>
        </is>
      </c>
      <c r="B474" s="1" t="n">
        <v>44186</v>
      </c>
      <c r="C474" s="1" t="n">
        <v>45637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69295-2020</t>
        </is>
      </c>
      <c r="B475" s="1" t="n">
        <v>44186</v>
      </c>
      <c r="C475" s="1" t="n">
        <v>45637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69269-2020</t>
        </is>
      </c>
      <c r="B476" s="1" t="n">
        <v>44186</v>
      </c>
      <c r="C476" s="1" t="n">
        <v>45637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69155-2020</t>
        </is>
      </c>
      <c r="B477" s="1" t="n">
        <v>44186</v>
      </c>
      <c r="C477" s="1" t="n">
        <v>45637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69141-2020</t>
        </is>
      </c>
      <c r="B478" s="1" t="n">
        <v>44186</v>
      </c>
      <c r="C478" s="1" t="n">
        <v>45637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69158-2020</t>
        </is>
      </c>
      <c r="B479" s="1" t="n">
        <v>44188</v>
      </c>
      <c r="C479" s="1" t="n">
        <v>45637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69311-2020</t>
        </is>
      </c>
      <c r="B480" s="1" t="n">
        <v>44193</v>
      </c>
      <c r="C480" s="1" t="n">
        <v>45637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69360-2020</t>
        </is>
      </c>
      <c r="B481" s="1" t="n">
        <v>44193</v>
      </c>
      <c r="C481" s="1" t="n">
        <v>45637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69363-2020</t>
        </is>
      </c>
      <c r="B482" s="1" t="n">
        <v>44193</v>
      </c>
      <c r="C482" s="1" t="n">
        <v>45637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69413-2020</t>
        </is>
      </c>
      <c r="B483" s="1" t="n">
        <v>44193</v>
      </c>
      <c r="C483" s="1" t="n">
        <v>45637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69411-2020</t>
        </is>
      </c>
      <c r="B484" s="1" t="n">
        <v>44193</v>
      </c>
      <c r="C484" s="1" t="n">
        <v>45637</v>
      </c>
      <c r="D484" t="inlineStr">
        <is>
          <t>KALMAR LÄN</t>
        </is>
      </c>
      <c r="E484" t="inlineStr">
        <is>
          <t>HULTSFRED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69412-2020</t>
        </is>
      </c>
      <c r="B485" s="1" t="n">
        <v>44193</v>
      </c>
      <c r="C485" s="1" t="n">
        <v>45637</v>
      </c>
      <c r="D485" t="inlineStr">
        <is>
          <t>KALMAR LÄN</t>
        </is>
      </c>
      <c r="E485" t="inlineStr">
        <is>
          <t>HULTSFRED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69659-2020</t>
        </is>
      </c>
      <c r="B486" s="1" t="n">
        <v>44195</v>
      </c>
      <c r="C486" s="1" t="n">
        <v>45637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520-2021</t>
        </is>
      </c>
      <c r="B487" s="1" t="n">
        <v>44201</v>
      </c>
      <c r="C487" s="1" t="n">
        <v>45637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547-2021</t>
        </is>
      </c>
      <c r="B488" s="1" t="n">
        <v>44203</v>
      </c>
      <c r="C488" s="1" t="n">
        <v>45637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635-2021</t>
        </is>
      </c>
      <c r="B489" s="1" t="n">
        <v>44203</v>
      </c>
      <c r="C489" s="1" t="n">
        <v>45637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2629-2021</t>
        </is>
      </c>
      <c r="B490" s="1" t="n">
        <v>44215</v>
      </c>
      <c r="C490" s="1" t="n">
        <v>45637</v>
      </c>
      <c r="D490" t="inlineStr">
        <is>
          <t>KALMAR LÄN</t>
        </is>
      </c>
      <c r="E490" t="inlineStr">
        <is>
          <t>HULTSFRED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3488-2021</t>
        </is>
      </c>
      <c r="B491" s="1" t="n">
        <v>44216</v>
      </c>
      <c r="C491" s="1" t="n">
        <v>45637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4222-2021</t>
        </is>
      </c>
      <c r="B492" s="1" t="n">
        <v>44218</v>
      </c>
      <c r="C492" s="1" t="n">
        <v>45637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4318-2021</t>
        </is>
      </c>
      <c r="B493" s="1" t="n">
        <v>44223</v>
      </c>
      <c r="C493" s="1" t="n">
        <v>45637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4407-2021</t>
        </is>
      </c>
      <c r="B494" s="1" t="n">
        <v>44223</v>
      </c>
      <c r="C494" s="1" t="n">
        <v>45637</v>
      </c>
      <c r="D494" t="inlineStr">
        <is>
          <t>KALMAR LÄN</t>
        </is>
      </c>
      <c r="E494" t="inlineStr">
        <is>
          <t>HULTSFRED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4413-2021</t>
        </is>
      </c>
      <c r="B495" s="1" t="n">
        <v>44223</v>
      </c>
      <c r="C495" s="1" t="n">
        <v>45637</v>
      </c>
      <c r="D495" t="inlineStr">
        <is>
          <t>KALMAR LÄN</t>
        </is>
      </c>
      <c r="E495" t="inlineStr">
        <is>
          <t>HULTSFRED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5423-2021</t>
        </is>
      </c>
      <c r="B496" s="1" t="n">
        <v>44229</v>
      </c>
      <c r="C496" s="1" t="n">
        <v>45637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6235-2021</t>
        </is>
      </c>
      <c r="B497" s="1" t="n">
        <v>44235</v>
      </c>
      <c r="C497" s="1" t="n">
        <v>45637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6547-2021</t>
        </is>
      </c>
      <c r="B498" s="1" t="n">
        <v>44236</v>
      </c>
      <c r="C498" s="1" t="n">
        <v>45637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7994-2021</t>
        </is>
      </c>
      <c r="B499" s="1" t="n">
        <v>44243</v>
      </c>
      <c r="C499" s="1" t="n">
        <v>45637</v>
      </c>
      <c r="D499" t="inlineStr">
        <is>
          <t>KALMAR LÄN</t>
        </is>
      </c>
      <c r="E499" t="inlineStr">
        <is>
          <t>HULTSFRED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9271-2021</t>
        </is>
      </c>
      <c r="B500" s="1" t="n">
        <v>44250</v>
      </c>
      <c r="C500" s="1" t="n">
        <v>45637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9222-2021</t>
        </is>
      </c>
      <c r="B501" s="1" t="n">
        <v>44250</v>
      </c>
      <c r="C501" s="1" t="n">
        <v>45637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9654-2021</t>
        </is>
      </c>
      <c r="B502" s="1" t="n">
        <v>44252</v>
      </c>
      <c r="C502" s="1" t="n">
        <v>45637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9650-2021</t>
        </is>
      </c>
      <c r="B503" s="1" t="n">
        <v>44252</v>
      </c>
      <c r="C503" s="1" t="n">
        <v>45637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10546-2021</t>
        </is>
      </c>
      <c r="B504" s="1" t="n">
        <v>44258</v>
      </c>
      <c r="C504" s="1" t="n">
        <v>45637</v>
      </c>
      <c r="D504" t="inlineStr">
        <is>
          <t>KALMAR LÄN</t>
        </is>
      </c>
      <c r="E504" t="inlineStr">
        <is>
          <t>HULTSFRED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10754-2021</t>
        </is>
      </c>
      <c r="B505" s="1" t="n">
        <v>44259</v>
      </c>
      <c r="C505" s="1" t="n">
        <v>45637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11080-2021</t>
        </is>
      </c>
      <c r="B506" s="1" t="n">
        <v>44260</v>
      </c>
      <c r="C506" s="1" t="n">
        <v>45637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11436-2021</t>
        </is>
      </c>
      <c r="B507" s="1" t="n">
        <v>44263</v>
      </c>
      <c r="C507" s="1" t="n">
        <v>45637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12157-2021</t>
        </is>
      </c>
      <c r="B508" s="1" t="n">
        <v>44266</v>
      </c>
      <c r="C508" s="1" t="n">
        <v>45637</v>
      </c>
      <c r="D508" t="inlineStr">
        <is>
          <t>KALMAR LÄN</t>
        </is>
      </c>
      <c r="E508" t="inlineStr">
        <is>
          <t>HULTSFRED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12717-2021</t>
        </is>
      </c>
      <c r="B509" s="1" t="n">
        <v>44270</v>
      </c>
      <c r="C509" s="1" t="n">
        <v>45637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13715-2021</t>
        </is>
      </c>
      <c r="B510" s="1" t="n">
        <v>44274</v>
      </c>
      <c r="C510" s="1" t="n">
        <v>45637</v>
      </c>
      <c r="D510" t="inlineStr">
        <is>
          <t>KALMAR LÄN</t>
        </is>
      </c>
      <c r="E510" t="inlineStr">
        <is>
          <t>HULTSFRED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13717-2021</t>
        </is>
      </c>
      <c r="B511" s="1" t="n">
        <v>44274</v>
      </c>
      <c r="C511" s="1" t="n">
        <v>45637</v>
      </c>
      <c r="D511" t="inlineStr">
        <is>
          <t>KALMAR LÄN</t>
        </is>
      </c>
      <c r="E511" t="inlineStr">
        <is>
          <t>HULTSFRED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13704-2021</t>
        </is>
      </c>
      <c r="B512" s="1" t="n">
        <v>44274</v>
      </c>
      <c r="C512" s="1" t="n">
        <v>45637</v>
      </c>
      <c r="D512" t="inlineStr">
        <is>
          <t>KALMAR LÄN</t>
        </is>
      </c>
      <c r="E512" t="inlineStr">
        <is>
          <t>HULTSFRED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13732-2021</t>
        </is>
      </c>
      <c r="B513" s="1" t="n">
        <v>44274</v>
      </c>
      <c r="C513" s="1" t="n">
        <v>45637</v>
      </c>
      <c r="D513" t="inlineStr">
        <is>
          <t>KALMAR LÄN</t>
        </is>
      </c>
      <c r="E513" t="inlineStr">
        <is>
          <t>HULTSFRED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14280-2021</t>
        </is>
      </c>
      <c r="B514" s="1" t="n">
        <v>44278</v>
      </c>
      <c r="C514" s="1" t="n">
        <v>45637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15715-2021</t>
        </is>
      </c>
      <c r="B515" s="1" t="n">
        <v>44286</v>
      </c>
      <c r="C515" s="1" t="n">
        <v>45637</v>
      </c>
      <c r="D515" t="inlineStr">
        <is>
          <t>KALMAR LÄN</t>
        </is>
      </c>
      <c r="E515" t="inlineStr">
        <is>
          <t>HULTSFRED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16542-2021</t>
        </is>
      </c>
      <c r="B516" s="1" t="n">
        <v>44293</v>
      </c>
      <c r="C516" s="1" t="n">
        <v>45637</v>
      </c>
      <c r="D516" t="inlineStr">
        <is>
          <t>KALMAR LÄN</t>
        </is>
      </c>
      <c r="E516" t="inlineStr">
        <is>
          <t>HULTSFRED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16865-2021</t>
        </is>
      </c>
      <c r="B517" s="1" t="n">
        <v>44295</v>
      </c>
      <c r="C517" s="1" t="n">
        <v>45637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17059-2021</t>
        </is>
      </c>
      <c r="B518" s="1" t="n">
        <v>44296</v>
      </c>
      <c r="C518" s="1" t="n">
        <v>45637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17660-2021</t>
        </is>
      </c>
      <c r="B519" s="1" t="n">
        <v>44300</v>
      </c>
      <c r="C519" s="1" t="n">
        <v>45637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19118-2021</t>
        </is>
      </c>
      <c r="B520" s="1" t="n">
        <v>44308</v>
      </c>
      <c r="C520" s="1" t="n">
        <v>45637</v>
      </c>
      <c r="D520" t="inlineStr">
        <is>
          <t>KALMAR LÄN</t>
        </is>
      </c>
      <c r="E520" t="inlineStr">
        <is>
          <t>HULTSFRED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21228-2021</t>
        </is>
      </c>
      <c r="B521" s="1" t="n">
        <v>44314</v>
      </c>
      <c r="C521" s="1" t="n">
        <v>45637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21107-2021</t>
        </is>
      </c>
      <c r="B522" s="1" t="n">
        <v>44319</v>
      </c>
      <c r="C522" s="1" t="n">
        <v>45637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21280-2021</t>
        </is>
      </c>
      <c r="B523" s="1" t="n">
        <v>44320</v>
      </c>
      <c r="C523" s="1" t="n">
        <v>45637</v>
      </c>
      <c r="D523" t="inlineStr">
        <is>
          <t>KALMAR LÄN</t>
        </is>
      </c>
      <c r="E523" t="inlineStr">
        <is>
          <t>HULTSFRED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22213-2021</t>
        </is>
      </c>
      <c r="B524" s="1" t="n">
        <v>44326</v>
      </c>
      <c r="C524" s="1" t="n">
        <v>45637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22236-2021</t>
        </is>
      </c>
      <c r="B525" s="1" t="n">
        <v>44326</v>
      </c>
      <c r="C525" s="1" t="n">
        <v>45637</v>
      </c>
      <c r="D525" t="inlineStr">
        <is>
          <t>KALMAR LÄN</t>
        </is>
      </c>
      <c r="E525" t="inlineStr">
        <is>
          <t>HULTSFRED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23730-2021</t>
        </is>
      </c>
      <c r="B526" s="1" t="n">
        <v>44334</v>
      </c>
      <c r="C526" s="1" t="n">
        <v>45637</v>
      </c>
      <c r="D526" t="inlineStr">
        <is>
          <t>KALMAR LÄN</t>
        </is>
      </c>
      <c r="E526" t="inlineStr">
        <is>
          <t>HULTSFRED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24307-2021</t>
        </is>
      </c>
      <c r="B527" s="1" t="n">
        <v>44337</v>
      </c>
      <c r="C527" s="1" t="n">
        <v>45637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26895-2021</t>
        </is>
      </c>
      <c r="B528" s="1" t="n">
        <v>44349</v>
      </c>
      <c r="C528" s="1" t="n">
        <v>45637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27226-2021</t>
        </is>
      </c>
      <c r="B529" s="1" t="n">
        <v>44350</v>
      </c>
      <c r="C529" s="1" t="n">
        <v>45637</v>
      </c>
      <c r="D529" t="inlineStr">
        <is>
          <t>KALMAR LÄN</t>
        </is>
      </c>
      <c r="E529" t="inlineStr">
        <is>
          <t>HULTSFRED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27570-2021</t>
        </is>
      </c>
      <c r="B530" s="1" t="n">
        <v>44353</v>
      </c>
      <c r="C530" s="1" t="n">
        <v>45637</v>
      </c>
      <c r="D530" t="inlineStr">
        <is>
          <t>KALMAR LÄN</t>
        </is>
      </c>
      <c r="E530" t="inlineStr">
        <is>
          <t>HULTSFRED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27929-2021</t>
        </is>
      </c>
      <c r="B531" s="1" t="n">
        <v>44354</v>
      </c>
      <c r="C531" s="1" t="n">
        <v>45637</v>
      </c>
      <c r="D531" t="inlineStr">
        <is>
          <t>KALMAR LÄN</t>
        </is>
      </c>
      <c r="E531" t="inlineStr">
        <is>
          <t>HULTSFRED</t>
        </is>
      </c>
      <c r="F531" t="inlineStr">
        <is>
          <t>Övriga Aktiebolag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28399-2021</t>
        </is>
      </c>
      <c r="B532" s="1" t="n">
        <v>44356</v>
      </c>
      <c r="C532" s="1" t="n">
        <v>45637</v>
      </c>
      <c r="D532" t="inlineStr">
        <is>
          <t>KALMAR LÄN</t>
        </is>
      </c>
      <c r="E532" t="inlineStr">
        <is>
          <t>HULTSFRED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28669-2021</t>
        </is>
      </c>
      <c r="B533" s="1" t="n">
        <v>44357</v>
      </c>
      <c r="C533" s="1" t="n">
        <v>45637</v>
      </c>
      <c r="D533" t="inlineStr">
        <is>
          <t>KALMAR LÄN</t>
        </is>
      </c>
      <c r="E533" t="inlineStr">
        <is>
          <t>HULTSFRED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31053-2021</t>
        </is>
      </c>
      <c r="B534" s="1" t="n">
        <v>44368</v>
      </c>
      <c r="C534" s="1" t="n">
        <v>45637</v>
      </c>
      <c r="D534" t="inlineStr">
        <is>
          <t>KALMAR LÄN</t>
        </is>
      </c>
      <c r="E534" t="inlineStr">
        <is>
          <t>HULTSFRED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32497-2021</t>
        </is>
      </c>
      <c r="B535" s="1" t="n">
        <v>44373</v>
      </c>
      <c r="C535" s="1" t="n">
        <v>45637</v>
      </c>
      <c r="D535" t="inlineStr">
        <is>
          <t>KALMAR LÄN</t>
        </is>
      </c>
      <c r="E535" t="inlineStr">
        <is>
          <t>HULTSFRED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32783-2021</t>
        </is>
      </c>
      <c r="B536" s="1" t="n">
        <v>44375</v>
      </c>
      <c r="C536" s="1" t="n">
        <v>45637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32770-2021</t>
        </is>
      </c>
      <c r="B537" s="1" t="n">
        <v>44375</v>
      </c>
      <c r="C537" s="1" t="n">
        <v>45637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32777-2021</t>
        </is>
      </c>
      <c r="B538" s="1" t="n">
        <v>44375</v>
      </c>
      <c r="C538" s="1" t="n">
        <v>45637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32786-2021</t>
        </is>
      </c>
      <c r="B539" s="1" t="n">
        <v>44375</v>
      </c>
      <c r="C539" s="1" t="n">
        <v>45637</v>
      </c>
      <c r="D539" t="inlineStr">
        <is>
          <t>KALMAR LÄN</t>
        </is>
      </c>
      <c r="E539" t="inlineStr">
        <is>
          <t>HULTSFRED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32791-2021</t>
        </is>
      </c>
      <c r="B540" s="1" t="n">
        <v>44375</v>
      </c>
      <c r="C540" s="1" t="n">
        <v>45637</v>
      </c>
      <c r="D540" t="inlineStr">
        <is>
          <t>KALMAR LÄN</t>
        </is>
      </c>
      <c r="E540" t="inlineStr">
        <is>
          <t>HULTSFRED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34502-2021</t>
        </is>
      </c>
      <c r="B541" s="1" t="n">
        <v>44382</v>
      </c>
      <c r="C541" s="1" t="n">
        <v>45637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35387-2021</t>
        </is>
      </c>
      <c r="B542" s="1" t="n">
        <v>44385</v>
      </c>
      <c r="C542" s="1" t="n">
        <v>45637</v>
      </c>
      <c r="D542" t="inlineStr">
        <is>
          <t>KALMAR LÄN</t>
        </is>
      </c>
      <c r="E542" t="inlineStr">
        <is>
          <t>HULTSFRED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35392-2021</t>
        </is>
      </c>
      <c r="B543" s="1" t="n">
        <v>44385</v>
      </c>
      <c r="C543" s="1" t="n">
        <v>45637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35380-2021</t>
        </is>
      </c>
      <c r="B544" s="1" t="n">
        <v>44385</v>
      </c>
      <c r="C544" s="1" t="n">
        <v>45637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35623-2021</t>
        </is>
      </c>
      <c r="B545" s="1" t="n">
        <v>44386</v>
      </c>
      <c r="C545" s="1" t="n">
        <v>45637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38971-2021</t>
        </is>
      </c>
      <c r="B546" s="1" t="n">
        <v>44411</v>
      </c>
      <c r="C546" s="1" t="n">
        <v>45637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40428-2021</t>
        </is>
      </c>
      <c r="B547" s="1" t="n">
        <v>44419</v>
      </c>
      <c r="C547" s="1" t="n">
        <v>45637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40617-2021</t>
        </is>
      </c>
      <c r="B548" s="1" t="n">
        <v>44420</v>
      </c>
      <c r="C548" s="1" t="n">
        <v>45637</v>
      </c>
      <c r="D548" t="inlineStr">
        <is>
          <t>KALMAR LÄN</t>
        </is>
      </c>
      <c r="E548" t="inlineStr">
        <is>
          <t>HULTSFRED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40598-2021</t>
        </is>
      </c>
      <c r="B549" s="1" t="n">
        <v>44420</v>
      </c>
      <c r="C549" s="1" t="n">
        <v>45637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40596-2021</t>
        </is>
      </c>
      <c r="B550" s="1" t="n">
        <v>44420</v>
      </c>
      <c r="C550" s="1" t="n">
        <v>45637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42055-2021</t>
        </is>
      </c>
      <c r="B551" s="1" t="n">
        <v>44426</v>
      </c>
      <c r="C551" s="1" t="n">
        <v>45637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42792-2021</t>
        </is>
      </c>
      <c r="B552" s="1" t="n">
        <v>44428</v>
      </c>
      <c r="C552" s="1" t="n">
        <v>45637</v>
      </c>
      <c r="D552" t="inlineStr">
        <is>
          <t>KALMAR LÄN</t>
        </is>
      </c>
      <c r="E552" t="inlineStr">
        <is>
          <t>HULTSFRED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43344-2021</t>
        </is>
      </c>
      <c r="B553" s="1" t="n">
        <v>44432</v>
      </c>
      <c r="C553" s="1" t="n">
        <v>45637</v>
      </c>
      <c r="D553" t="inlineStr">
        <is>
          <t>KALMAR LÄN</t>
        </is>
      </c>
      <c r="E553" t="inlineStr">
        <is>
          <t>HULTSFRED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43574-2021</t>
        </is>
      </c>
      <c r="B554" s="1" t="n">
        <v>44433</v>
      </c>
      <c r="C554" s="1" t="n">
        <v>45637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44139-2021</t>
        </is>
      </c>
      <c r="B555" s="1" t="n">
        <v>44434</v>
      </c>
      <c r="C555" s="1" t="n">
        <v>45637</v>
      </c>
      <c r="D555" t="inlineStr">
        <is>
          <t>KALMAR LÄN</t>
        </is>
      </c>
      <c r="E555" t="inlineStr">
        <is>
          <t>HULTSFRED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44626-2021</t>
        </is>
      </c>
      <c r="B556" s="1" t="n">
        <v>44437</v>
      </c>
      <c r="C556" s="1" t="n">
        <v>45637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44803-2021</t>
        </is>
      </c>
      <c r="B557" s="1" t="n">
        <v>44438</v>
      </c>
      <c r="C557" s="1" t="n">
        <v>45637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44977-2021</t>
        </is>
      </c>
      <c r="B558" s="1" t="n">
        <v>44438</v>
      </c>
      <c r="C558" s="1" t="n">
        <v>45637</v>
      </c>
      <c r="D558" t="inlineStr">
        <is>
          <t>KALMAR LÄN</t>
        </is>
      </c>
      <c r="E558" t="inlineStr">
        <is>
          <t>HULTSFRED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45236-2021</t>
        </is>
      </c>
      <c r="B559" s="1" t="n">
        <v>44439</v>
      </c>
      <c r="C559" s="1" t="n">
        <v>45637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46060-2021</t>
        </is>
      </c>
      <c r="B560" s="1" t="n">
        <v>44441</v>
      </c>
      <c r="C560" s="1" t="n">
        <v>45637</v>
      </c>
      <c r="D560" t="inlineStr">
        <is>
          <t>KALMAR LÄN</t>
        </is>
      </c>
      <c r="E560" t="inlineStr">
        <is>
          <t>HULTSFRED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47350-2021</t>
        </is>
      </c>
      <c r="B561" s="1" t="n">
        <v>44447</v>
      </c>
      <c r="C561" s="1" t="n">
        <v>45637</v>
      </c>
      <c r="D561" t="inlineStr">
        <is>
          <t>KALMAR LÄN</t>
        </is>
      </c>
      <c r="E561" t="inlineStr">
        <is>
          <t>HULTSFRED</t>
        </is>
      </c>
      <c r="F561" t="inlineStr">
        <is>
          <t>Kommuner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47371-2021</t>
        </is>
      </c>
      <c r="B562" s="1" t="n">
        <v>44447</v>
      </c>
      <c r="C562" s="1" t="n">
        <v>45637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48249-2021</t>
        </is>
      </c>
      <c r="B563" s="1" t="n">
        <v>44449</v>
      </c>
      <c r="C563" s="1" t="n">
        <v>45637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48732-2021</t>
        </is>
      </c>
      <c r="B564" s="1" t="n">
        <v>44452</v>
      </c>
      <c r="C564" s="1" t="n">
        <v>45637</v>
      </c>
      <c r="D564" t="inlineStr">
        <is>
          <t>KALMAR LÄN</t>
        </is>
      </c>
      <c r="E564" t="inlineStr">
        <is>
          <t>HULTSFRED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48729-2021</t>
        </is>
      </c>
      <c r="B565" s="1" t="n">
        <v>44452</v>
      </c>
      <c r="C565" s="1" t="n">
        <v>45637</v>
      </c>
      <c r="D565" t="inlineStr">
        <is>
          <t>KALMAR LÄN</t>
        </is>
      </c>
      <c r="E565" t="inlineStr">
        <is>
          <t>HULTSFRED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48735-2021</t>
        </is>
      </c>
      <c r="B566" s="1" t="n">
        <v>44452</v>
      </c>
      <c r="C566" s="1" t="n">
        <v>45637</v>
      </c>
      <c r="D566" t="inlineStr">
        <is>
          <t>KALMAR LÄN</t>
        </is>
      </c>
      <c r="E566" t="inlineStr">
        <is>
          <t>HULTSFRED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49989-2021</t>
        </is>
      </c>
      <c r="B567" s="1" t="n">
        <v>44456</v>
      </c>
      <c r="C567" s="1" t="n">
        <v>45637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51585-2021</t>
        </is>
      </c>
      <c r="B568" s="1" t="n">
        <v>44462</v>
      </c>
      <c r="C568" s="1" t="n">
        <v>45637</v>
      </c>
      <c r="D568" t="inlineStr">
        <is>
          <t>KALMAR LÄN</t>
        </is>
      </c>
      <c r="E568" t="inlineStr">
        <is>
          <t>HULTSFRED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53291-2021</t>
        </is>
      </c>
      <c r="B569" s="1" t="n">
        <v>44468</v>
      </c>
      <c r="C569" s="1" t="n">
        <v>45637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53296-2021</t>
        </is>
      </c>
      <c r="B570" s="1" t="n">
        <v>44468</v>
      </c>
      <c r="C570" s="1" t="n">
        <v>45637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54209-2021</t>
        </is>
      </c>
      <c r="B571" s="1" t="n">
        <v>44470</v>
      </c>
      <c r="C571" s="1" t="n">
        <v>45637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54369-2021</t>
        </is>
      </c>
      <c r="B572" s="1" t="n">
        <v>44473</v>
      </c>
      <c r="C572" s="1" t="n">
        <v>45637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54712-2021</t>
        </is>
      </c>
      <c r="B573" s="1" t="n">
        <v>44473</v>
      </c>
      <c r="C573" s="1" t="n">
        <v>45637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54733-2021</t>
        </is>
      </c>
      <c r="B574" s="1" t="n">
        <v>44473</v>
      </c>
      <c r="C574" s="1" t="n">
        <v>45637</v>
      </c>
      <c r="D574" t="inlineStr">
        <is>
          <t>KALMAR LÄN</t>
        </is>
      </c>
      <c r="E574" t="inlineStr">
        <is>
          <t>HULTSFRED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54944-2021</t>
        </is>
      </c>
      <c r="B575" s="1" t="n">
        <v>44474</v>
      </c>
      <c r="C575" s="1" t="n">
        <v>45637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56140-2021</t>
        </is>
      </c>
      <c r="B576" s="1" t="n">
        <v>44477</v>
      </c>
      <c r="C576" s="1" t="n">
        <v>45637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56368-2021</t>
        </is>
      </c>
      <c r="B577" s="1" t="n">
        <v>44480</v>
      </c>
      <c r="C577" s="1" t="n">
        <v>45637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56944-2021</t>
        </is>
      </c>
      <c r="B578" s="1" t="n">
        <v>44482</v>
      </c>
      <c r="C578" s="1" t="n">
        <v>45637</v>
      </c>
      <c r="D578" t="inlineStr">
        <is>
          <t>KALMAR LÄN</t>
        </is>
      </c>
      <c r="E578" t="inlineStr">
        <is>
          <t>HULTSFRED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57184-2021</t>
        </is>
      </c>
      <c r="B579" s="1" t="n">
        <v>44482</v>
      </c>
      <c r="C579" s="1" t="n">
        <v>45637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57689-2021</t>
        </is>
      </c>
      <c r="B580" s="1" t="n">
        <v>44484</v>
      </c>
      <c r="C580" s="1" t="n">
        <v>45637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57707-2021</t>
        </is>
      </c>
      <c r="B581" s="1" t="n">
        <v>44484</v>
      </c>
      <c r="C581" s="1" t="n">
        <v>45637</v>
      </c>
      <c r="D581" t="inlineStr">
        <is>
          <t>KALMAR LÄN</t>
        </is>
      </c>
      <c r="E581" t="inlineStr">
        <is>
          <t>HULTSFRED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58294-2021</t>
        </is>
      </c>
      <c r="B582" s="1" t="n">
        <v>44488</v>
      </c>
      <c r="C582" s="1" t="n">
        <v>45637</v>
      </c>
      <c r="D582" t="inlineStr">
        <is>
          <t>KALMAR LÄN</t>
        </is>
      </c>
      <c r="E582" t="inlineStr">
        <is>
          <t>HULTSFRED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58348-2021</t>
        </is>
      </c>
      <c r="B583" s="1" t="n">
        <v>44488</v>
      </c>
      <c r="C583" s="1" t="n">
        <v>45637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59134-2021</t>
        </is>
      </c>
      <c r="B584" s="1" t="n">
        <v>44490</v>
      </c>
      <c r="C584" s="1" t="n">
        <v>45637</v>
      </c>
      <c r="D584" t="inlineStr">
        <is>
          <t>KALMAR LÄN</t>
        </is>
      </c>
      <c r="E584" t="inlineStr">
        <is>
          <t>HULTSFRED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59032-2021</t>
        </is>
      </c>
      <c r="B585" s="1" t="n">
        <v>44490</v>
      </c>
      <c r="C585" s="1" t="n">
        <v>45637</v>
      </c>
      <c r="D585" t="inlineStr">
        <is>
          <t>KALMAR LÄN</t>
        </is>
      </c>
      <c r="E585" t="inlineStr">
        <is>
          <t>HULTSFRED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59150-2021</t>
        </is>
      </c>
      <c r="B586" s="1" t="n">
        <v>44490</v>
      </c>
      <c r="C586" s="1" t="n">
        <v>45637</v>
      </c>
      <c r="D586" t="inlineStr">
        <is>
          <t>KALMAR LÄN</t>
        </is>
      </c>
      <c r="E586" t="inlineStr">
        <is>
          <t>HULTSFRED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59203-2021</t>
        </is>
      </c>
      <c r="B587" s="1" t="n">
        <v>44490</v>
      </c>
      <c r="C587" s="1" t="n">
        <v>45637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60525-2021</t>
        </is>
      </c>
      <c r="B588" s="1" t="n">
        <v>44496</v>
      </c>
      <c r="C588" s="1" t="n">
        <v>45637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60719-2021</t>
        </is>
      </c>
      <c r="B589" s="1" t="n">
        <v>44496</v>
      </c>
      <c r="C589" s="1" t="n">
        <v>45637</v>
      </c>
      <c r="D589" t="inlineStr">
        <is>
          <t>KALMAR LÄN</t>
        </is>
      </c>
      <c r="E589" t="inlineStr">
        <is>
          <t>HULTSFRED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61211-2021</t>
        </is>
      </c>
      <c r="B590" s="1" t="n">
        <v>44498</v>
      </c>
      <c r="C590" s="1" t="n">
        <v>45637</v>
      </c>
      <c r="D590" t="inlineStr">
        <is>
          <t>KALMAR LÄN</t>
        </is>
      </c>
      <c r="E590" t="inlineStr">
        <is>
          <t>HULTSFRED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62361-2021</t>
        </is>
      </c>
      <c r="B591" s="1" t="n">
        <v>44502</v>
      </c>
      <c r="C591" s="1" t="n">
        <v>45637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64265-2021</t>
        </is>
      </c>
      <c r="B592" s="1" t="n">
        <v>44510</v>
      </c>
      <c r="C592" s="1" t="n">
        <v>45637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64463-2021</t>
        </is>
      </c>
      <c r="B593" s="1" t="n">
        <v>44511</v>
      </c>
      <c r="C593" s="1" t="n">
        <v>45637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65533-2021</t>
        </is>
      </c>
      <c r="B594" s="1" t="n">
        <v>44516</v>
      </c>
      <c r="C594" s="1" t="n">
        <v>45637</v>
      </c>
      <c r="D594" t="inlineStr">
        <is>
          <t>KALMAR LÄN</t>
        </is>
      </c>
      <c r="E594" t="inlineStr">
        <is>
          <t>HULTSFRED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65529-2021</t>
        </is>
      </c>
      <c r="B595" s="1" t="n">
        <v>44516</v>
      </c>
      <c r="C595" s="1" t="n">
        <v>45637</v>
      </c>
      <c r="D595" t="inlineStr">
        <is>
          <t>KALMAR LÄN</t>
        </is>
      </c>
      <c r="E595" t="inlineStr">
        <is>
          <t>HULTSFRED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65831-2021</t>
        </is>
      </c>
      <c r="B596" s="1" t="n">
        <v>44517</v>
      </c>
      <c r="C596" s="1" t="n">
        <v>45637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66721-2021</t>
        </is>
      </c>
      <c r="B597" s="1" t="n">
        <v>44520</v>
      </c>
      <c r="C597" s="1" t="n">
        <v>45637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66722-2021</t>
        </is>
      </c>
      <c r="B598" s="1" t="n">
        <v>44520</v>
      </c>
      <c r="C598" s="1" t="n">
        <v>45637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66725-2021</t>
        </is>
      </c>
      <c r="B599" s="1" t="n">
        <v>44520</v>
      </c>
      <c r="C599" s="1" t="n">
        <v>45637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66729-2021</t>
        </is>
      </c>
      <c r="B600" s="1" t="n">
        <v>44520</v>
      </c>
      <c r="C600" s="1" t="n">
        <v>45637</v>
      </c>
      <c r="D600" t="inlineStr">
        <is>
          <t>KALMAR LÄN</t>
        </is>
      </c>
      <c r="E600" t="inlineStr">
        <is>
          <t>HULTSFRED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66728-2021</t>
        </is>
      </c>
      <c r="B601" s="1" t="n">
        <v>44520</v>
      </c>
      <c r="C601" s="1" t="n">
        <v>45637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67752-2021</t>
        </is>
      </c>
      <c r="B602" s="1" t="n">
        <v>44525</v>
      </c>
      <c r="C602" s="1" t="n">
        <v>45637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67760-2021</t>
        </is>
      </c>
      <c r="B603" s="1" t="n">
        <v>44525</v>
      </c>
      <c r="C603" s="1" t="n">
        <v>45637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67758-2021</t>
        </is>
      </c>
      <c r="B604" s="1" t="n">
        <v>44525</v>
      </c>
      <c r="C604" s="1" t="n">
        <v>45637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68090-2021</t>
        </is>
      </c>
      <c r="B605" s="1" t="n">
        <v>44526</v>
      </c>
      <c r="C605" s="1" t="n">
        <v>45637</v>
      </c>
      <c r="D605" t="inlineStr">
        <is>
          <t>KALMAR LÄN</t>
        </is>
      </c>
      <c r="E605" t="inlineStr">
        <is>
          <t>HULTSFRED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68102-2021</t>
        </is>
      </c>
      <c r="B606" s="1" t="n">
        <v>44526</v>
      </c>
      <c r="C606" s="1" t="n">
        <v>45637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68088-2021</t>
        </is>
      </c>
      <c r="B607" s="1" t="n">
        <v>44526</v>
      </c>
      <c r="C607" s="1" t="n">
        <v>45637</v>
      </c>
      <c r="D607" t="inlineStr">
        <is>
          <t>KALMAR LÄN</t>
        </is>
      </c>
      <c r="E607" t="inlineStr">
        <is>
          <t>HULTSFRED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68091-2021</t>
        </is>
      </c>
      <c r="B608" s="1" t="n">
        <v>44526</v>
      </c>
      <c r="C608" s="1" t="n">
        <v>45637</v>
      </c>
      <c r="D608" t="inlineStr">
        <is>
          <t>KALMAR LÄN</t>
        </is>
      </c>
      <c r="E608" t="inlineStr">
        <is>
          <t>HULTSFRED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68991-2021</t>
        </is>
      </c>
      <c r="B609" s="1" t="n">
        <v>44529</v>
      </c>
      <c r="C609" s="1" t="n">
        <v>45637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68803-2021</t>
        </is>
      </c>
      <c r="B610" s="1" t="n">
        <v>44530</v>
      </c>
      <c r="C610" s="1" t="n">
        <v>45637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68824-2021</t>
        </is>
      </c>
      <c r="B611" s="1" t="n">
        <v>44530</v>
      </c>
      <c r="C611" s="1" t="n">
        <v>45637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68818-2021</t>
        </is>
      </c>
      <c r="B612" s="1" t="n">
        <v>44530</v>
      </c>
      <c r="C612" s="1" t="n">
        <v>45637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69242-2021</t>
        </is>
      </c>
      <c r="B613" s="1" t="n">
        <v>44531</v>
      </c>
      <c r="C613" s="1" t="n">
        <v>45637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69212-2021</t>
        </is>
      </c>
      <c r="B614" s="1" t="n">
        <v>44531</v>
      </c>
      <c r="C614" s="1" t="n">
        <v>45637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69566-2021</t>
        </is>
      </c>
      <c r="B615" s="1" t="n">
        <v>44532</v>
      </c>
      <c r="C615" s="1" t="n">
        <v>45637</v>
      </c>
      <c r="D615" t="inlineStr">
        <is>
          <t>KALMAR LÄN</t>
        </is>
      </c>
      <c r="E615" t="inlineStr">
        <is>
          <t>HULTSFRED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69653-2021</t>
        </is>
      </c>
      <c r="B616" s="1" t="n">
        <v>44532</v>
      </c>
      <c r="C616" s="1" t="n">
        <v>45637</v>
      </c>
      <c r="D616" t="inlineStr">
        <is>
          <t>KALMAR LÄN</t>
        </is>
      </c>
      <c r="E616" t="inlineStr">
        <is>
          <t>HULTSFRED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69830-2021</t>
        </is>
      </c>
      <c r="B617" s="1" t="n">
        <v>44532</v>
      </c>
      <c r="C617" s="1" t="n">
        <v>45637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69764-2021</t>
        </is>
      </c>
      <c r="B618" s="1" t="n">
        <v>44532</v>
      </c>
      <c r="C618" s="1" t="n">
        <v>45637</v>
      </c>
      <c r="D618" t="inlineStr">
        <is>
          <t>KALMAR LÄN</t>
        </is>
      </c>
      <c r="E618" t="inlineStr">
        <is>
          <t>HULTSFRED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70376-2021</t>
        </is>
      </c>
      <c r="B619" s="1" t="n">
        <v>44536</v>
      </c>
      <c r="C619" s="1" t="n">
        <v>45637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70604-2021</t>
        </is>
      </c>
      <c r="B620" s="1" t="n">
        <v>44537</v>
      </c>
      <c r="C620" s="1" t="n">
        <v>45637</v>
      </c>
      <c r="D620" t="inlineStr">
        <is>
          <t>KALMAR LÄN</t>
        </is>
      </c>
      <c r="E620" t="inlineStr">
        <is>
          <t>HULTSFRED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70600-2021</t>
        </is>
      </c>
      <c r="B621" s="1" t="n">
        <v>44537</v>
      </c>
      <c r="C621" s="1" t="n">
        <v>45637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72708-2021</t>
        </is>
      </c>
      <c r="B622" s="1" t="n">
        <v>44546</v>
      </c>
      <c r="C622" s="1" t="n">
        <v>45637</v>
      </c>
      <c r="D622" t="inlineStr">
        <is>
          <t>KALMAR LÄN</t>
        </is>
      </c>
      <c r="E622" t="inlineStr">
        <is>
          <t>HULTSFRED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72860-2021</t>
        </is>
      </c>
      <c r="B623" s="1" t="n">
        <v>44547</v>
      </c>
      <c r="C623" s="1" t="n">
        <v>45637</v>
      </c>
      <c r="D623" t="inlineStr">
        <is>
          <t>KALMAR LÄN</t>
        </is>
      </c>
      <c r="E623" t="inlineStr">
        <is>
          <t>HULTSFRED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72979-2021</t>
        </is>
      </c>
      <c r="B624" s="1" t="n">
        <v>44549</v>
      </c>
      <c r="C624" s="1" t="n">
        <v>45637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73484-2021</t>
        </is>
      </c>
      <c r="B625" s="1" t="n">
        <v>44551</v>
      </c>
      <c r="C625" s="1" t="n">
        <v>45637</v>
      </c>
      <c r="D625" t="inlineStr">
        <is>
          <t>KALMAR LÄN</t>
        </is>
      </c>
      <c r="E625" t="inlineStr">
        <is>
          <t>HULTSFRED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73794-2021</t>
        </is>
      </c>
      <c r="B626" s="1" t="n">
        <v>44552</v>
      </c>
      <c r="C626" s="1" t="n">
        <v>45637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73949-2021</t>
        </is>
      </c>
      <c r="B627" s="1" t="n">
        <v>44552</v>
      </c>
      <c r="C627" s="1" t="n">
        <v>45637</v>
      </c>
      <c r="D627" t="inlineStr">
        <is>
          <t>KALMAR LÄN</t>
        </is>
      </c>
      <c r="E627" t="inlineStr">
        <is>
          <t>HULTSFRED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299-2022</t>
        </is>
      </c>
      <c r="B628" s="1" t="n">
        <v>44564</v>
      </c>
      <c r="C628" s="1" t="n">
        <v>45637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211-2022</t>
        </is>
      </c>
      <c r="B629" s="1" t="n">
        <v>44564</v>
      </c>
      <c r="C629" s="1" t="n">
        <v>45637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298-2022</t>
        </is>
      </c>
      <c r="B630" s="1" t="n">
        <v>44564</v>
      </c>
      <c r="C630" s="1" t="n">
        <v>45637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262-2022</t>
        </is>
      </c>
      <c r="B631" s="1" t="n">
        <v>44565</v>
      </c>
      <c r="C631" s="1" t="n">
        <v>45637</v>
      </c>
      <c r="D631" t="inlineStr">
        <is>
          <t>KALMAR LÄN</t>
        </is>
      </c>
      <c r="E631" t="inlineStr">
        <is>
          <t>HULTSFRED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3058-2022</t>
        </is>
      </c>
      <c r="B632" s="1" t="n">
        <v>44582</v>
      </c>
      <c r="C632" s="1" t="n">
        <v>45637</v>
      </c>
      <c r="D632" t="inlineStr">
        <is>
          <t>KALMAR LÄN</t>
        </is>
      </c>
      <c r="E632" t="inlineStr">
        <is>
          <t>HULTSFRED</t>
        </is>
      </c>
      <c r="F632" t="inlineStr">
        <is>
          <t>Övriga Aktiebolag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3102-2022</t>
        </is>
      </c>
      <c r="B633" s="1" t="n">
        <v>44582</v>
      </c>
      <c r="C633" s="1" t="n">
        <v>45637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3910-2022</t>
        </is>
      </c>
      <c r="B634" s="1" t="n">
        <v>44587</v>
      </c>
      <c r="C634" s="1" t="n">
        <v>45637</v>
      </c>
      <c r="D634" t="inlineStr">
        <is>
          <t>KALMAR LÄN</t>
        </is>
      </c>
      <c r="E634" t="inlineStr">
        <is>
          <t>HULTSFRED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3914-2022</t>
        </is>
      </c>
      <c r="B635" s="1" t="n">
        <v>44587</v>
      </c>
      <c r="C635" s="1" t="n">
        <v>45637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4835-2022</t>
        </is>
      </c>
      <c r="B636" s="1" t="n">
        <v>44592</v>
      </c>
      <c r="C636" s="1" t="n">
        <v>45637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4944-2022</t>
        </is>
      </c>
      <c r="B637" s="1" t="n">
        <v>44593</v>
      </c>
      <c r="C637" s="1" t="n">
        <v>45637</v>
      </c>
      <c r="D637" t="inlineStr">
        <is>
          <t>KALMAR LÄN</t>
        </is>
      </c>
      <c r="E637" t="inlineStr">
        <is>
          <t>HULTSFRED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4998-2022</t>
        </is>
      </c>
      <c r="B638" s="1" t="n">
        <v>44593</v>
      </c>
      <c r="C638" s="1" t="n">
        <v>45637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5269-2022</t>
        </is>
      </c>
      <c r="B639" s="1" t="n">
        <v>44594</v>
      </c>
      <c r="C639" s="1" t="n">
        <v>45637</v>
      </c>
      <c r="D639" t="inlineStr">
        <is>
          <t>KALMAR LÄN</t>
        </is>
      </c>
      <c r="E639" t="inlineStr">
        <is>
          <t>HULTSFRED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5278-2022</t>
        </is>
      </c>
      <c r="B640" s="1" t="n">
        <v>44594</v>
      </c>
      <c r="C640" s="1" t="n">
        <v>45637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6016-2022</t>
        </is>
      </c>
      <c r="B641" s="1" t="n">
        <v>44599</v>
      </c>
      <c r="C641" s="1" t="n">
        <v>45637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7271-2022</t>
        </is>
      </c>
      <c r="B642" s="1" t="n">
        <v>44606</v>
      </c>
      <c r="C642" s="1" t="n">
        <v>45637</v>
      </c>
      <c r="D642" t="inlineStr">
        <is>
          <t>KALMAR LÄN</t>
        </is>
      </c>
      <c r="E642" t="inlineStr">
        <is>
          <t>HULTSFRED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7270-2022</t>
        </is>
      </c>
      <c r="B643" s="1" t="n">
        <v>44606</v>
      </c>
      <c r="C643" s="1" t="n">
        <v>45637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7843-2022</t>
        </is>
      </c>
      <c r="B644" s="1" t="n">
        <v>44608</v>
      </c>
      <c r="C644" s="1" t="n">
        <v>45637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8199-2022</t>
        </is>
      </c>
      <c r="B645" s="1" t="n">
        <v>44609</v>
      </c>
      <c r="C645" s="1" t="n">
        <v>45637</v>
      </c>
      <c r="D645" t="inlineStr">
        <is>
          <t>KALMAR LÄN</t>
        </is>
      </c>
      <c r="E645" t="inlineStr">
        <is>
          <t>HULTSFRED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8198-2022</t>
        </is>
      </c>
      <c r="B646" s="1" t="n">
        <v>44609</v>
      </c>
      <c r="C646" s="1" t="n">
        <v>45637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8402-2022</t>
        </is>
      </c>
      <c r="B647" s="1" t="n">
        <v>44610</v>
      </c>
      <c r="C647" s="1" t="n">
        <v>45637</v>
      </c>
      <c r="D647" t="inlineStr">
        <is>
          <t>KALMAR LÄN</t>
        </is>
      </c>
      <c r="E647" t="inlineStr">
        <is>
          <t>HULTSFRED</t>
        </is>
      </c>
      <c r="F647" t="inlineStr">
        <is>
          <t>Kommuner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8439-2022</t>
        </is>
      </c>
      <c r="B648" s="1" t="n">
        <v>44612</v>
      </c>
      <c r="C648" s="1" t="n">
        <v>45637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8930-2022</t>
        </is>
      </c>
      <c r="B649" s="1" t="n">
        <v>44614</v>
      </c>
      <c r="C649" s="1" t="n">
        <v>45637</v>
      </c>
      <c r="D649" t="inlineStr">
        <is>
          <t>KALMAR LÄN</t>
        </is>
      </c>
      <c r="E649" t="inlineStr">
        <is>
          <t>HULTSFRED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9571-2022</t>
        </is>
      </c>
      <c r="B650" s="1" t="n">
        <v>44617</v>
      </c>
      <c r="C650" s="1" t="n">
        <v>45637</v>
      </c>
      <c r="D650" t="inlineStr">
        <is>
          <t>KALMAR LÄN</t>
        </is>
      </c>
      <c r="E650" t="inlineStr">
        <is>
          <t>HULTSFRED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10555-2022</t>
        </is>
      </c>
      <c r="B651" s="1" t="n">
        <v>44623</v>
      </c>
      <c r="C651" s="1" t="n">
        <v>45637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10643-2022</t>
        </is>
      </c>
      <c r="B652" s="1" t="n">
        <v>44624</v>
      </c>
      <c r="C652" s="1" t="n">
        <v>45637</v>
      </c>
      <c r="D652" t="inlineStr">
        <is>
          <t>KALMAR LÄN</t>
        </is>
      </c>
      <c r="E652" t="inlineStr">
        <is>
          <t>HULTSFRED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10633-2022</t>
        </is>
      </c>
      <c r="B653" s="1" t="n">
        <v>44624</v>
      </c>
      <c r="C653" s="1" t="n">
        <v>45637</v>
      </c>
      <c r="D653" t="inlineStr">
        <is>
          <t>KALMAR LÄN</t>
        </is>
      </c>
      <c r="E653" t="inlineStr">
        <is>
          <t>HULTSFRED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10644-2022</t>
        </is>
      </c>
      <c r="B654" s="1" t="n">
        <v>44624</v>
      </c>
      <c r="C654" s="1" t="n">
        <v>45637</v>
      </c>
      <c r="D654" t="inlineStr">
        <is>
          <t>KALMAR LÄN</t>
        </is>
      </c>
      <c r="E654" t="inlineStr">
        <is>
          <t>HULTSFRED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11566-2022</t>
        </is>
      </c>
      <c r="B655" s="1" t="n">
        <v>44631</v>
      </c>
      <c r="C655" s="1" t="n">
        <v>45637</v>
      </c>
      <c r="D655" t="inlineStr">
        <is>
          <t>KALMAR LÄN</t>
        </is>
      </c>
      <c r="E655" t="inlineStr">
        <is>
          <t>HULTSFRED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11562-2022</t>
        </is>
      </c>
      <c r="B656" s="1" t="n">
        <v>44631</v>
      </c>
      <c r="C656" s="1" t="n">
        <v>45637</v>
      </c>
      <c r="D656" t="inlineStr">
        <is>
          <t>KALMAR LÄN</t>
        </is>
      </c>
      <c r="E656" t="inlineStr">
        <is>
          <t>HULTSFRED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11565-2022</t>
        </is>
      </c>
      <c r="B657" s="1" t="n">
        <v>44631</v>
      </c>
      <c r="C657" s="1" t="n">
        <v>45637</v>
      </c>
      <c r="D657" t="inlineStr">
        <is>
          <t>KALMAR LÄN</t>
        </is>
      </c>
      <c r="E657" t="inlineStr">
        <is>
          <t>HULTSFRED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12976-2022</t>
        </is>
      </c>
      <c r="B658" s="1" t="n">
        <v>44643</v>
      </c>
      <c r="C658" s="1" t="n">
        <v>45637</v>
      </c>
      <c r="D658" t="inlineStr">
        <is>
          <t>KALMAR LÄN</t>
        </is>
      </c>
      <c r="E658" t="inlineStr">
        <is>
          <t>HULTSFRED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13473-2022</t>
        </is>
      </c>
      <c r="B659" s="1" t="n">
        <v>44645</v>
      </c>
      <c r="C659" s="1" t="n">
        <v>45637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13472-2022</t>
        </is>
      </c>
      <c r="B660" s="1" t="n">
        <v>44645</v>
      </c>
      <c r="C660" s="1" t="n">
        <v>45637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14013-2022</t>
        </is>
      </c>
      <c r="B661" s="1" t="n">
        <v>44650</v>
      </c>
      <c r="C661" s="1" t="n">
        <v>45637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14094-2022</t>
        </is>
      </c>
      <c r="B662" s="1" t="n">
        <v>44651</v>
      </c>
      <c r="C662" s="1" t="n">
        <v>45637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14111-2022</t>
        </is>
      </c>
      <c r="B663" s="1" t="n">
        <v>44651</v>
      </c>
      <c r="C663" s="1" t="n">
        <v>45637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14599-2022</t>
        </is>
      </c>
      <c r="B664" s="1" t="n">
        <v>44655</v>
      </c>
      <c r="C664" s="1" t="n">
        <v>45637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16193-2022</t>
        </is>
      </c>
      <c r="B665" s="1" t="n">
        <v>44670</v>
      </c>
      <c r="C665" s="1" t="n">
        <v>45637</v>
      </c>
      <c r="D665" t="inlineStr">
        <is>
          <t>KALMAR LÄN</t>
        </is>
      </c>
      <c r="E665" t="inlineStr">
        <is>
          <t>HULTSFRED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16813-2022</t>
        </is>
      </c>
      <c r="B666" s="1" t="n">
        <v>44673</v>
      </c>
      <c r="C666" s="1" t="n">
        <v>45637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16902-2022</t>
        </is>
      </c>
      <c r="B667" s="1" t="n">
        <v>44676</v>
      </c>
      <c r="C667" s="1" t="n">
        <v>45637</v>
      </c>
      <c r="D667" t="inlineStr">
        <is>
          <t>KALMAR LÄN</t>
        </is>
      </c>
      <c r="E667" t="inlineStr">
        <is>
          <t>HULTSFRED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17966-2022</t>
        </is>
      </c>
      <c r="B668" s="1" t="n">
        <v>44683</v>
      </c>
      <c r="C668" s="1" t="n">
        <v>45637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18274-2022</t>
        </is>
      </c>
      <c r="B669" s="1" t="n">
        <v>44685</v>
      </c>
      <c r="C669" s="1" t="n">
        <v>45637</v>
      </c>
      <c r="D669" t="inlineStr">
        <is>
          <t>KALMAR LÄN</t>
        </is>
      </c>
      <c r="E669" t="inlineStr">
        <is>
          <t>HULTSFRED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18536-2022</t>
        </is>
      </c>
      <c r="B670" s="1" t="n">
        <v>44686</v>
      </c>
      <c r="C670" s="1" t="n">
        <v>45637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19684-2022</t>
        </is>
      </c>
      <c r="B671" s="1" t="n">
        <v>44694</v>
      </c>
      <c r="C671" s="1" t="n">
        <v>45637</v>
      </c>
      <c r="D671" t="inlineStr">
        <is>
          <t>KALMAR LÄN</t>
        </is>
      </c>
      <c r="E671" t="inlineStr">
        <is>
          <t>HULTSFRED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20566-2022</t>
        </is>
      </c>
      <c r="B672" s="1" t="n">
        <v>44700</v>
      </c>
      <c r="C672" s="1" t="n">
        <v>45637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21268-2022</t>
        </is>
      </c>
      <c r="B673" s="1" t="n">
        <v>44705</v>
      </c>
      <c r="C673" s="1" t="n">
        <v>45637</v>
      </c>
      <c r="D673" t="inlineStr">
        <is>
          <t>KALMAR LÄN</t>
        </is>
      </c>
      <c r="E673" t="inlineStr">
        <is>
          <t>HULTSFRED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21254-2022</t>
        </is>
      </c>
      <c r="B674" s="1" t="n">
        <v>44705</v>
      </c>
      <c r="C674" s="1" t="n">
        <v>45637</v>
      </c>
      <c r="D674" t="inlineStr">
        <is>
          <t>KALMAR LÄN</t>
        </is>
      </c>
      <c r="E674" t="inlineStr">
        <is>
          <t>HULTSFRED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21337-2022</t>
        </is>
      </c>
      <c r="B675" s="1" t="n">
        <v>44705</v>
      </c>
      <c r="C675" s="1" t="n">
        <v>45637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22233-2022</t>
        </is>
      </c>
      <c r="B676" s="1" t="n">
        <v>44712</v>
      </c>
      <c r="C676" s="1" t="n">
        <v>45637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22229-2022</t>
        </is>
      </c>
      <c r="B677" s="1" t="n">
        <v>44712</v>
      </c>
      <c r="C677" s="1" t="n">
        <v>45637</v>
      </c>
      <c r="D677" t="inlineStr">
        <is>
          <t>KALMAR LÄN</t>
        </is>
      </c>
      <c r="E677" t="inlineStr">
        <is>
          <t>HULTSFRED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22443-2022</t>
        </is>
      </c>
      <c r="B678" s="1" t="n">
        <v>44713</v>
      </c>
      <c r="C678" s="1" t="n">
        <v>45637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22676-2022</t>
        </is>
      </c>
      <c r="B679" s="1" t="n">
        <v>44714</v>
      </c>
      <c r="C679" s="1" t="n">
        <v>45637</v>
      </c>
      <c r="D679" t="inlineStr">
        <is>
          <t>KALMAR LÄN</t>
        </is>
      </c>
      <c r="E679" t="inlineStr">
        <is>
          <t>HULTSFRED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23147-2022</t>
        </is>
      </c>
      <c r="B680" s="1" t="n">
        <v>44719</v>
      </c>
      <c r="C680" s="1" t="n">
        <v>45637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24257-2022</t>
        </is>
      </c>
      <c r="B681" s="1" t="n">
        <v>44725</v>
      </c>
      <c r="C681" s="1" t="n">
        <v>45637</v>
      </c>
      <c r="D681" t="inlineStr">
        <is>
          <t>KALMAR LÄN</t>
        </is>
      </c>
      <c r="E681" t="inlineStr">
        <is>
          <t>HULTSFRED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24258-2022</t>
        </is>
      </c>
      <c r="B682" s="1" t="n">
        <v>44725</v>
      </c>
      <c r="C682" s="1" t="n">
        <v>45637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25582-2022</t>
        </is>
      </c>
      <c r="B683" s="1" t="n">
        <v>44732</v>
      </c>
      <c r="C683" s="1" t="n">
        <v>45637</v>
      </c>
      <c r="D683" t="inlineStr">
        <is>
          <t>KALMAR LÄN</t>
        </is>
      </c>
      <c r="E683" t="inlineStr">
        <is>
          <t>HULTSFRED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26909-2022</t>
        </is>
      </c>
      <c r="B684" s="1" t="n">
        <v>44740</v>
      </c>
      <c r="C684" s="1" t="n">
        <v>45637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27256-2022</t>
        </is>
      </c>
      <c r="B685" s="1" t="n">
        <v>44741</v>
      </c>
      <c r="C685" s="1" t="n">
        <v>45637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27259-2022</t>
        </is>
      </c>
      <c r="B686" s="1" t="n">
        <v>44741</v>
      </c>
      <c r="C686" s="1" t="n">
        <v>45637</v>
      </c>
      <c r="D686" t="inlineStr">
        <is>
          <t>KALMAR LÄN</t>
        </is>
      </c>
      <c r="E686" t="inlineStr">
        <is>
          <t>HULTSFRED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27810-2022</t>
        </is>
      </c>
      <c r="B687" s="1" t="n">
        <v>44743</v>
      </c>
      <c r="C687" s="1" t="n">
        <v>45637</v>
      </c>
      <c r="D687" t="inlineStr">
        <is>
          <t>KALMAR LÄN</t>
        </is>
      </c>
      <c r="E687" t="inlineStr">
        <is>
          <t>HULTSFRED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28878-2022</t>
        </is>
      </c>
      <c r="B688" s="1" t="n">
        <v>44749</v>
      </c>
      <c r="C688" s="1" t="n">
        <v>45637</v>
      </c>
      <c r="D688" t="inlineStr">
        <is>
          <t>KALMAR LÄN</t>
        </is>
      </c>
      <c r="E688" t="inlineStr">
        <is>
          <t>HULTSFRED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29741-2022</t>
        </is>
      </c>
      <c r="B689" s="1" t="n">
        <v>44755</v>
      </c>
      <c r="C689" s="1" t="n">
        <v>45637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32345-2022</t>
        </is>
      </c>
      <c r="B690" s="1" t="n">
        <v>44781</v>
      </c>
      <c r="C690" s="1" t="n">
        <v>45637</v>
      </c>
      <c r="D690" t="inlineStr">
        <is>
          <t>KALMAR LÄN</t>
        </is>
      </c>
      <c r="E690" t="inlineStr">
        <is>
          <t>HULTSFRED</t>
        </is>
      </c>
      <c r="G690" t="n">
        <v>11.7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33271-2022</t>
        </is>
      </c>
      <c r="B691" s="1" t="n">
        <v>44788</v>
      </c>
      <c r="C691" s="1" t="n">
        <v>45637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34565-2022</t>
        </is>
      </c>
      <c r="B692" s="1" t="n">
        <v>44794</v>
      </c>
      <c r="C692" s="1" t="n">
        <v>45637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34564-2022</t>
        </is>
      </c>
      <c r="B693" s="1" t="n">
        <v>44794</v>
      </c>
      <c r="C693" s="1" t="n">
        <v>45637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37377-2022</t>
        </is>
      </c>
      <c r="B694" s="1" t="n">
        <v>44809</v>
      </c>
      <c r="C694" s="1" t="n">
        <v>45637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37916-2022</t>
        </is>
      </c>
      <c r="B695" s="1" t="n">
        <v>44811</v>
      </c>
      <c r="C695" s="1" t="n">
        <v>45637</v>
      </c>
      <c r="D695" t="inlineStr">
        <is>
          <t>KALMAR LÄN</t>
        </is>
      </c>
      <c r="E695" t="inlineStr">
        <is>
          <t>HULTSFRED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37919-2022</t>
        </is>
      </c>
      <c r="B696" s="1" t="n">
        <v>44811</v>
      </c>
      <c r="C696" s="1" t="n">
        <v>45637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37960-2022</t>
        </is>
      </c>
      <c r="B697" s="1" t="n">
        <v>44811</v>
      </c>
      <c r="C697" s="1" t="n">
        <v>45637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38971-2022</t>
        </is>
      </c>
      <c r="B698" s="1" t="n">
        <v>44816</v>
      </c>
      <c r="C698" s="1" t="n">
        <v>45637</v>
      </c>
      <c r="D698" t="inlineStr">
        <is>
          <t>KALMAR LÄN</t>
        </is>
      </c>
      <c r="E698" t="inlineStr">
        <is>
          <t>HULTSFRED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39598-2022</t>
        </is>
      </c>
      <c r="B699" s="1" t="n">
        <v>44818</v>
      </c>
      <c r="C699" s="1" t="n">
        <v>45637</v>
      </c>
      <c r="D699" t="inlineStr">
        <is>
          <t>KALMAR LÄN</t>
        </is>
      </c>
      <c r="E699" t="inlineStr">
        <is>
          <t>HULTSFRED</t>
        </is>
      </c>
      <c r="F699" t="inlineStr">
        <is>
          <t>Övriga Aktiebolag</t>
        </is>
      </c>
      <c r="G699" t="n">
        <v>17.1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39845-2022</t>
        </is>
      </c>
      <c r="B700" s="1" t="n">
        <v>44819</v>
      </c>
      <c r="C700" s="1" t="n">
        <v>45637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40792-2022</t>
        </is>
      </c>
      <c r="B701" s="1" t="n">
        <v>44824</v>
      </c>
      <c r="C701" s="1" t="n">
        <v>45637</v>
      </c>
      <c r="D701" t="inlineStr">
        <is>
          <t>KALMAR LÄN</t>
        </is>
      </c>
      <c r="E701" t="inlineStr">
        <is>
          <t>HULTSFRED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40865-2022</t>
        </is>
      </c>
      <c r="B702" s="1" t="n">
        <v>44825</v>
      </c>
      <c r="C702" s="1" t="n">
        <v>45637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40877-2022</t>
        </is>
      </c>
      <c r="B703" s="1" t="n">
        <v>44825</v>
      </c>
      <c r="C703" s="1" t="n">
        <v>45637</v>
      </c>
      <c r="D703" t="inlineStr">
        <is>
          <t>KALMAR LÄN</t>
        </is>
      </c>
      <c r="E703" t="inlineStr">
        <is>
          <t>HULTSFRED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41277-2022</t>
        </is>
      </c>
      <c r="B704" s="1" t="n">
        <v>44826</v>
      </c>
      <c r="C704" s="1" t="n">
        <v>45637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41695-2022</t>
        </is>
      </c>
      <c r="B705" s="1" t="n">
        <v>44827</v>
      </c>
      <c r="C705" s="1" t="n">
        <v>45637</v>
      </c>
      <c r="D705" t="inlineStr">
        <is>
          <t>KALMAR LÄN</t>
        </is>
      </c>
      <c r="E705" t="inlineStr">
        <is>
          <t>HULTSFRED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41731-2022</t>
        </is>
      </c>
      <c r="B706" s="1" t="n">
        <v>44827</v>
      </c>
      <c r="C706" s="1" t="n">
        <v>45637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41694-2022</t>
        </is>
      </c>
      <c r="B707" s="1" t="n">
        <v>44827</v>
      </c>
      <c r="C707" s="1" t="n">
        <v>45637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41699-2022</t>
        </is>
      </c>
      <c r="B708" s="1" t="n">
        <v>44827</v>
      </c>
      <c r="C708" s="1" t="n">
        <v>45637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41729-2022</t>
        </is>
      </c>
      <c r="B709" s="1" t="n">
        <v>44827</v>
      </c>
      <c r="C709" s="1" t="n">
        <v>45637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41617-2022</t>
        </is>
      </c>
      <c r="B710" s="1" t="n">
        <v>44827</v>
      </c>
      <c r="C710" s="1" t="n">
        <v>45637</v>
      </c>
      <c r="D710" t="inlineStr">
        <is>
          <t>KALMAR LÄN</t>
        </is>
      </c>
      <c r="E710" t="inlineStr">
        <is>
          <t>HULTSFRED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41728-2022</t>
        </is>
      </c>
      <c r="B711" s="1" t="n">
        <v>44827</v>
      </c>
      <c r="C711" s="1" t="n">
        <v>45637</v>
      </c>
      <c r="D711" t="inlineStr">
        <is>
          <t>KALMAR LÄN</t>
        </is>
      </c>
      <c r="E711" t="inlineStr">
        <is>
          <t>HULTSFRED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41976-2022</t>
        </is>
      </c>
      <c r="B712" s="1" t="n">
        <v>44830</v>
      </c>
      <c r="C712" s="1" t="n">
        <v>45637</v>
      </c>
      <c r="D712" t="inlineStr">
        <is>
          <t>KALMAR LÄN</t>
        </is>
      </c>
      <c r="E712" t="inlineStr">
        <is>
          <t>HULTSFRED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42315-2022</t>
        </is>
      </c>
      <c r="B713" s="1" t="n">
        <v>44831</v>
      </c>
      <c r="C713" s="1" t="n">
        <v>45637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42498-2022</t>
        </is>
      </c>
      <c r="B714" s="1" t="n">
        <v>44831</v>
      </c>
      <c r="C714" s="1" t="n">
        <v>45637</v>
      </c>
      <c r="D714" t="inlineStr">
        <is>
          <t>KALMAR LÄN</t>
        </is>
      </c>
      <c r="E714" t="inlineStr">
        <is>
          <t>HULTSFRED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42436-2022</t>
        </is>
      </c>
      <c r="B715" s="1" t="n">
        <v>44831</v>
      </c>
      <c r="C715" s="1" t="n">
        <v>45637</v>
      </c>
      <c r="D715" t="inlineStr">
        <is>
          <t>KALMAR LÄN</t>
        </is>
      </c>
      <c r="E715" t="inlineStr">
        <is>
          <t>HULTSFRED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42567-2022</t>
        </is>
      </c>
      <c r="B716" s="1" t="n">
        <v>44831</v>
      </c>
      <c r="C716" s="1" t="n">
        <v>45637</v>
      </c>
      <c r="D716" t="inlineStr">
        <is>
          <t>KALMAR LÄN</t>
        </is>
      </c>
      <c r="E716" t="inlineStr">
        <is>
          <t>HULTSFRED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42597-2022</t>
        </is>
      </c>
      <c r="B717" s="1" t="n">
        <v>44831</v>
      </c>
      <c r="C717" s="1" t="n">
        <v>45637</v>
      </c>
      <c r="D717" t="inlineStr">
        <is>
          <t>KALMAR LÄN</t>
        </is>
      </c>
      <c r="E717" t="inlineStr">
        <is>
          <t>HULTSFRED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42598-2022</t>
        </is>
      </c>
      <c r="B718" s="1" t="n">
        <v>44831</v>
      </c>
      <c r="C718" s="1" t="n">
        <v>45637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43096-2022</t>
        </is>
      </c>
      <c r="B719" s="1" t="n">
        <v>44833</v>
      </c>
      <c r="C719" s="1" t="n">
        <v>45637</v>
      </c>
      <c r="D719" t="inlineStr">
        <is>
          <t>KALMAR LÄN</t>
        </is>
      </c>
      <c r="E719" t="inlineStr">
        <is>
          <t>HULTSFRED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43108-2022</t>
        </is>
      </c>
      <c r="B720" s="1" t="n">
        <v>44833</v>
      </c>
      <c r="C720" s="1" t="n">
        <v>45637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43284-2022</t>
        </is>
      </c>
      <c r="B721" s="1" t="n">
        <v>44834</v>
      </c>
      <c r="C721" s="1" t="n">
        <v>45637</v>
      </c>
      <c r="D721" t="inlineStr">
        <is>
          <t>KALMAR LÄN</t>
        </is>
      </c>
      <c r="E721" t="inlineStr">
        <is>
          <t>HULTSFRED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44197-2022</t>
        </is>
      </c>
      <c r="B722" s="1" t="n">
        <v>44839</v>
      </c>
      <c r="C722" s="1" t="n">
        <v>45637</v>
      </c>
      <c r="D722" t="inlineStr">
        <is>
          <t>KALMAR LÄN</t>
        </is>
      </c>
      <c r="E722" t="inlineStr">
        <is>
          <t>HULTSFRED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44200-2022</t>
        </is>
      </c>
      <c r="B723" s="1" t="n">
        <v>44839</v>
      </c>
      <c r="C723" s="1" t="n">
        <v>45637</v>
      </c>
      <c r="D723" t="inlineStr">
        <is>
          <t>KALMAR LÄN</t>
        </is>
      </c>
      <c r="E723" t="inlineStr">
        <is>
          <t>HULTSFRED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44410-2022</t>
        </is>
      </c>
      <c r="B724" s="1" t="n">
        <v>44839</v>
      </c>
      <c r="C724" s="1" t="n">
        <v>45637</v>
      </c>
      <c r="D724" t="inlineStr">
        <is>
          <t>KALMAR LÄN</t>
        </is>
      </c>
      <c r="E724" t="inlineStr">
        <is>
          <t>HULTSFRED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45955-2022</t>
        </is>
      </c>
      <c r="B725" s="1" t="n">
        <v>44846</v>
      </c>
      <c r="C725" s="1" t="n">
        <v>45637</v>
      </c>
      <c r="D725" t="inlineStr">
        <is>
          <t>KALMAR LÄN</t>
        </is>
      </c>
      <c r="E725" t="inlineStr">
        <is>
          <t>HULTSFRED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47185-2022</t>
        </is>
      </c>
      <c r="B726" s="1" t="n">
        <v>44852</v>
      </c>
      <c r="C726" s="1" t="n">
        <v>45637</v>
      </c>
      <c r="D726" t="inlineStr">
        <is>
          <t>KALMAR LÄN</t>
        </is>
      </c>
      <c r="E726" t="inlineStr">
        <is>
          <t>HULTSFRED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48964-2022</t>
        </is>
      </c>
      <c r="B727" s="1" t="n">
        <v>44860</v>
      </c>
      <c r="C727" s="1" t="n">
        <v>45637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49450-2022</t>
        </is>
      </c>
      <c r="B728" s="1" t="n">
        <v>44861</v>
      </c>
      <c r="C728" s="1" t="n">
        <v>45637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49703-2022</t>
        </is>
      </c>
      <c r="B729" s="1" t="n">
        <v>44862</v>
      </c>
      <c r="C729" s="1" t="n">
        <v>45637</v>
      </c>
      <c r="D729" t="inlineStr">
        <is>
          <t>KALMAR LÄN</t>
        </is>
      </c>
      <c r="E729" t="inlineStr">
        <is>
          <t>HULTSFRED</t>
        </is>
      </c>
      <c r="F729" t="inlineStr">
        <is>
          <t>Kyrkan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51243-2022</t>
        </is>
      </c>
      <c r="B730" s="1" t="n">
        <v>44868</v>
      </c>
      <c r="C730" s="1" t="n">
        <v>45637</v>
      </c>
      <c r="D730" t="inlineStr">
        <is>
          <t>KALMAR LÄN</t>
        </is>
      </c>
      <c r="E730" t="inlineStr">
        <is>
          <t>HULTSFRED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52911-2022</t>
        </is>
      </c>
      <c r="B731" s="1" t="n">
        <v>44875</v>
      </c>
      <c r="C731" s="1" t="n">
        <v>45637</v>
      </c>
      <c r="D731" t="inlineStr">
        <is>
          <t>KALMAR LÄN</t>
        </is>
      </c>
      <c r="E731" t="inlineStr">
        <is>
          <t>HULTSFRED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53203-2022</t>
        </is>
      </c>
      <c r="B732" s="1" t="n">
        <v>44876</v>
      </c>
      <c r="C732" s="1" t="n">
        <v>45637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53726-2022</t>
        </is>
      </c>
      <c r="B733" s="1" t="n">
        <v>44880</v>
      </c>
      <c r="C733" s="1" t="n">
        <v>45637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53990-2022</t>
        </is>
      </c>
      <c r="B734" s="1" t="n">
        <v>44881</v>
      </c>
      <c r="C734" s="1" t="n">
        <v>45637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55396-2022</t>
        </is>
      </c>
      <c r="B735" s="1" t="n">
        <v>44882</v>
      </c>
      <c r="C735" s="1" t="n">
        <v>45637</v>
      </c>
      <c r="D735" t="inlineStr">
        <is>
          <t>KALMAR LÄN</t>
        </is>
      </c>
      <c r="E735" t="inlineStr">
        <is>
          <t>HULTSFRED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55400-2022</t>
        </is>
      </c>
      <c r="B736" s="1" t="n">
        <v>44887</v>
      </c>
      <c r="C736" s="1" t="n">
        <v>45637</v>
      </c>
      <c r="D736" t="inlineStr">
        <is>
          <t>KALMAR LÄN</t>
        </is>
      </c>
      <c r="E736" t="inlineStr">
        <is>
          <t>HULTSFRED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55403-2022</t>
        </is>
      </c>
      <c r="B737" s="1" t="n">
        <v>44887</v>
      </c>
      <c r="C737" s="1" t="n">
        <v>45637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55990-2022</t>
        </is>
      </c>
      <c r="B738" s="1" t="n">
        <v>44889</v>
      </c>
      <c r="C738" s="1" t="n">
        <v>45637</v>
      </c>
      <c r="D738" t="inlineStr">
        <is>
          <t>KALMAR LÄN</t>
        </is>
      </c>
      <c r="E738" t="inlineStr">
        <is>
          <t>HULTSFRED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56554-2022</t>
        </is>
      </c>
      <c r="B739" s="1" t="n">
        <v>44893</v>
      </c>
      <c r="C739" s="1" t="n">
        <v>45637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56913-2022</t>
        </is>
      </c>
      <c r="B740" s="1" t="n">
        <v>44894</v>
      </c>
      <c r="C740" s="1" t="n">
        <v>45637</v>
      </c>
      <c r="D740" t="inlineStr">
        <is>
          <t>KALMAR LÄN</t>
        </is>
      </c>
      <c r="E740" t="inlineStr">
        <is>
          <t>HULTSFRED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56919-2022</t>
        </is>
      </c>
      <c r="B741" s="1" t="n">
        <v>44894</v>
      </c>
      <c r="C741" s="1" t="n">
        <v>45637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57053-2022</t>
        </is>
      </c>
      <c r="B742" s="1" t="n">
        <v>44895</v>
      </c>
      <c r="C742" s="1" t="n">
        <v>45637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57479-2022</t>
        </is>
      </c>
      <c r="B743" s="1" t="n">
        <v>44896</v>
      </c>
      <c r="C743" s="1" t="n">
        <v>45637</v>
      </c>
      <c r="D743" t="inlineStr">
        <is>
          <t>KALMAR LÄN</t>
        </is>
      </c>
      <c r="E743" t="inlineStr">
        <is>
          <t>HULTSFRED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58383-2022</t>
        </is>
      </c>
      <c r="B744" s="1" t="n">
        <v>44901</v>
      </c>
      <c r="C744" s="1" t="n">
        <v>45637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60357-2022</t>
        </is>
      </c>
      <c r="B745" s="1" t="n">
        <v>44910</v>
      </c>
      <c r="C745" s="1" t="n">
        <v>45637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61549-2022</t>
        </is>
      </c>
      <c r="B746" s="1" t="n">
        <v>44916</v>
      </c>
      <c r="C746" s="1" t="n">
        <v>45637</v>
      </c>
      <c r="D746" t="inlineStr">
        <is>
          <t>KALMAR LÄN</t>
        </is>
      </c>
      <c r="E746" t="inlineStr">
        <is>
          <t>HULTSFRED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61667-2022</t>
        </is>
      </c>
      <c r="B747" s="1" t="n">
        <v>44917</v>
      </c>
      <c r="C747" s="1" t="n">
        <v>45637</v>
      </c>
      <c r="D747" t="inlineStr">
        <is>
          <t>KALMAR LÄN</t>
        </is>
      </c>
      <c r="E747" t="inlineStr">
        <is>
          <t>HULTSFRED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144-2023</t>
        </is>
      </c>
      <c r="B748" s="1" t="n">
        <v>44928</v>
      </c>
      <c r="C748" s="1" t="n">
        <v>45637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63-2023</t>
        </is>
      </c>
      <c r="B749" s="1" t="n">
        <v>44928</v>
      </c>
      <c r="C749" s="1" t="n">
        <v>45637</v>
      </c>
      <c r="D749" t="inlineStr">
        <is>
          <t>KALMAR LÄN</t>
        </is>
      </c>
      <c r="E749" t="inlineStr">
        <is>
          <t>HULTSFRED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115-2023</t>
        </is>
      </c>
      <c r="B750" s="1" t="n">
        <v>44928</v>
      </c>
      <c r="C750" s="1" t="n">
        <v>45637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112-2023</t>
        </is>
      </c>
      <c r="B751" s="1" t="n">
        <v>44928</v>
      </c>
      <c r="C751" s="1" t="n">
        <v>45637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1033-2023</t>
        </is>
      </c>
      <c r="B752" s="1" t="n">
        <v>44935</v>
      </c>
      <c r="C752" s="1" t="n">
        <v>45637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1718-2023</t>
        </is>
      </c>
      <c r="B753" s="1" t="n">
        <v>44938</v>
      </c>
      <c r="C753" s="1" t="n">
        <v>45637</v>
      </c>
      <c r="D753" t="inlineStr">
        <is>
          <t>KALMAR LÄN</t>
        </is>
      </c>
      <c r="E753" t="inlineStr">
        <is>
          <t>HULTSFRED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1673-2023</t>
        </is>
      </c>
      <c r="B754" s="1" t="n">
        <v>44938</v>
      </c>
      <c r="C754" s="1" t="n">
        <v>45637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2507-2023</t>
        </is>
      </c>
      <c r="B755" s="1" t="n">
        <v>44939</v>
      </c>
      <c r="C755" s="1" t="n">
        <v>45637</v>
      </c>
      <c r="D755" t="inlineStr">
        <is>
          <t>KALMAR LÄN</t>
        </is>
      </c>
      <c r="E755" t="inlineStr">
        <is>
          <t>HULTSFRED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2500-2023</t>
        </is>
      </c>
      <c r="B756" s="1" t="n">
        <v>44939</v>
      </c>
      <c r="C756" s="1" t="n">
        <v>45637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2629-2023</t>
        </is>
      </c>
      <c r="B757" s="1" t="n">
        <v>44942</v>
      </c>
      <c r="C757" s="1" t="n">
        <v>45637</v>
      </c>
      <c r="D757" t="inlineStr">
        <is>
          <t>KALMAR LÄN</t>
        </is>
      </c>
      <c r="E757" t="inlineStr">
        <is>
          <t>HULTSFRED</t>
        </is>
      </c>
      <c r="G757" t="n">
        <v>58.7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2637-2023</t>
        </is>
      </c>
      <c r="B758" s="1" t="n">
        <v>44942</v>
      </c>
      <c r="C758" s="1" t="n">
        <v>45637</v>
      </c>
      <c r="D758" t="inlineStr">
        <is>
          <t>KALMAR LÄN</t>
        </is>
      </c>
      <c r="E758" t="inlineStr">
        <is>
          <t>HULTSFRED</t>
        </is>
      </c>
      <c r="G758" t="n">
        <v>13.1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45637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45637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45637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45637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45637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45637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45637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45637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45637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45637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45637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45637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45637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45637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45637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45637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45637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45637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45637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45637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45637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45637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45637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45637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45637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45637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45637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45637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45637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45637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45637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45637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45637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45637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45637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45637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45637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45637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45637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45637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45637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45637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45637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45637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45637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45637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45637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45637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45637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45637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45637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45637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45637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45637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45637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45637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45637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45637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45637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45637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45637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45637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45637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45637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45637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45637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45637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45637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45637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45637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45637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45637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45637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45637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45637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45637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45637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45637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45637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45637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45637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45637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45637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45637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45637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45637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45637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45637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45637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45637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45637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45637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45637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45637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45637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45637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45637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45637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45637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45637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45637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45637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45637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45637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45637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45637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45637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45637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45637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45637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45637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45637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45637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45637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45637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45637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45637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45637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45637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45637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45637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45637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45637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45637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45637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45637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45637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45637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45637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45637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45637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45637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45637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45637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45637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45637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45637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45637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45637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45637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45637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45637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45637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45637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45637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45637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45637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45637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45637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45637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45637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45637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45637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45637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45637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45637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45637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45637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45637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45637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45637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45637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45637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45637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45637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45637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45637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45637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45637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45637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45637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45637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45637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45637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45637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45637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45637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45637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45637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45637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45637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45637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45637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45637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45637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45637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45637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45637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45637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45637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45637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45637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45637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45637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45637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45637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45637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45637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45637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45637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45637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45637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45637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45637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45637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45637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45637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45637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45637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45637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45637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45637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45637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45637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45637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45637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45637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45637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45637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45637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45637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45637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45637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45637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45637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45637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45637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45637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45637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45637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45637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45637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45637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45637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45637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45637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45637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45637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45637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45637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45637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45637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45637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45637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45637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45637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45637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45637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45637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45637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45637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45637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45637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45637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45637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45637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45637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45637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45637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45637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45637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45637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45637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45637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45637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45637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45637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45637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45637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45637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45637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45637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45637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45637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45637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45637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45637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45637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45637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45637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45637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45637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45637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45637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45637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45637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45637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45637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45637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45637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45637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45637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45637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45637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45637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45637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45637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45637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45637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45637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45637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45637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45637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45637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45637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45637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45637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45637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45637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45637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45637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45637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45637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45637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45637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45637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45637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45637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45637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45637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45637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45637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45637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45637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45637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45637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45637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45637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45637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45637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45637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45637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45637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45637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45637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45637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45637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45637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45637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45637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45637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45637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45637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45637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45637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45637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45637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45637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45637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45637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45637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45637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45637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45637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45637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45637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45637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45637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45637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45637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45637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45637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45637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45637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45637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45637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45637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45637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45637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45637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45637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45637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45637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45637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45637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45637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45637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45637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45637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45637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45637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45637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45637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45637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45637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45637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45637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45637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45637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45637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45637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45637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45637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45637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45637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45637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45637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45637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45637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45637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45637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45637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45637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45637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45637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45637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45637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45637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45637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45637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45637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45637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45637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45637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45637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45637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45637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45637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45637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45637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45637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45637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45637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45637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45637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45637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45637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45637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45637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45637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45637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45637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45637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45637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45637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45637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45637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45637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45637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45637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45637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45637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45637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45637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45637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45637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45637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45637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45637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45637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45637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45637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45637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45637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45637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45637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45637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45637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45637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45637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45637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45637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45637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45637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45637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45637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45637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45637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45637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45637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45637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45637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45637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45637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45637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45637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45637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45637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45637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45637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45637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45637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45637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45637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45637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45637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45637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45637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45637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45637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45637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45637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45637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45637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45637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45637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45637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45637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45637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45637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45637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45637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45637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45637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45637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45637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45637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45637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45637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45637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45637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45637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45637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45637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45637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45637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45637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45637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45637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45637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45637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45637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45637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45637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45637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45637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45637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45637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45637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45637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45637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45637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45637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45637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45637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45637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45637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45637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45637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45637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45637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45637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45637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45637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45637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45637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45637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45637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45637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45637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45637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45637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45637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45637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45637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45637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45637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45637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45637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45637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45637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45637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45637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45637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45637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45637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45637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45637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45637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45637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45637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45637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45637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45637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45637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45637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45637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45637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45637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45637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45637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45637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45637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45637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45637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45637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45637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45637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45637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45637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45637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45637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45637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45637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45637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45637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45637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45637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45637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45637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45637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45637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45637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45637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45637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45637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45637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45637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45637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45637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45637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45637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45637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45637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45637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45637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45637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45637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45637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45637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45637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45637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45637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45637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45637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45637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45637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45637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45637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45637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45637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45637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45637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45637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45637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45637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45637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45637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52886-2024</t>
        </is>
      </c>
      <c r="B1397" s="1" t="n">
        <v>45610</v>
      </c>
      <c r="C1397" s="1" t="n">
        <v>45637</v>
      </c>
      <c r="D1397" t="inlineStr">
        <is>
          <t>KALMAR LÄN</t>
        </is>
      </c>
      <c r="E1397" t="inlineStr">
        <is>
          <t>HULTSFRED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52880-2024</t>
        </is>
      </c>
      <c r="B1398" s="1" t="n">
        <v>45610</v>
      </c>
      <c r="C1398" s="1" t="n">
        <v>45637</v>
      </c>
      <c r="D1398" t="inlineStr">
        <is>
          <t>KALMAR LÄN</t>
        </is>
      </c>
      <c r="E1398" t="inlineStr">
        <is>
          <t>HULTSFRED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52884-2024</t>
        </is>
      </c>
      <c r="B1399" s="1" t="n">
        <v>45610</v>
      </c>
      <c r="C1399" s="1" t="n">
        <v>45637</v>
      </c>
      <c r="D1399" t="inlineStr">
        <is>
          <t>KALMAR LÄN</t>
        </is>
      </c>
      <c r="E1399" t="inlineStr">
        <is>
          <t>HULTSFRED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53265-2024</t>
        </is>
      </c>
      <c r="B1400" s="1" t="n">
        <v>45614</v>
      </c>
      <c r="C1400" s="1" t="n">
        <v>45637</v>
      </c>
      <c r="D1400" t="inlineStr">
        <is>
          <t>KALMAR LÄN</t>
        </is>
      </c>
      <c r="E1400" t="inlineStr">
        <is>
          <t>HULTSFRED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53497-2024</t>
        </is>
      </c>
      <c r="B1401" s="1" t="n">
        <v>45614</v>
      </c>
      <c r="C1401" s="1" t="n">
        <v>45637</v>
      </c>
      <c r="D1401" t="inlineStr">
        <is>
          <t>KALMAR LÄN</t>
        </is>
      </c>
      <c r="E1401" t="inlineStr">
        <is>
          <t>HULTSFRED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45637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45637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45637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53810-2024</t>
        </is>
      </c>
      <c r="B1405" s="1" t="n">
        <v>45615</v>
      </c>
      <c r="C1405" s="1" t="n">
        <v>45637</v>
      </c>
      <c r="D1405" t="inlineStr">
        <is>
          <t>KALMAR LÄN</t>
        </is>
      </c>
      <c r="E1405" t="inlineStr">
        <is>
          <t>HULTSFRED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53835-2024</t>
        </is>
      </c>
      <c r="B1406" s="1" t="n">
        <v>45615</v>
      </c>
      <c r="C1406" s="1" t="n">
        <v>45637</v>
      </c>
      <c r="D1406" t="inlineStr">
        <is>
          <t>KALMAR LÄN</t>
        </is>
      </c>
      <c r="E1406" t="inlineStr">
        <is>
          <t>HULTSFRED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45637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54053-2024</t>
        </is>
      </c>
      <c r="B1408" s="1" t="n">
        <v>45616</v>
      </c>
      <c r="C1408" s="1" t="n">
        <v>45637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45637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54767-2024</t>
        </is>
      </c>
      <c r="B1410" s="1" t="n">
        <v>45618</v>
      </c>
      <c r="C1410" s="1" t="n">
        <v>45637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55131-2024</t>
        </is>
      </c>
      <c r="B1411" s="1" t="n">
        <v>45618</v>
      </c>
      <c r="C1411" s="1" t="n">
        <v>45637</v>
      </c>
      <c r="D1411" t="inlineStr">
        <is>
          <t>KALMAR LÄN</t>
        </is>
      </c>
      <c r="E1411" t="inlineStr">
        <is>
          <t>HULTSFRED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45637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45637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45637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45637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45637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45637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56100-2024</t>
        </is>
      </c>
      <c r="B1418" s="1" t="n">
        <v>45624</v>
      </c>
      <c r="C1418" s="1" t="n">
        <v>45637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45637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45637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45637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45637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57173-2024</t>
        </is>
      </c>
      <c r="B1423" s="1" t="n">
        <v>45629</v>
      </c>
      <c r="C1423" s="1" t="n">
        <v>45637</v>
      </c>
      <c r="D1423" t="inlineStr">
        <is>
          <t>KALMAR LÄN</t>
        </is>
      </c>
      <c r="E1423" t="inlineStr">
        <is>
          <t>HULTSFRED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57037-2024</t>
        </is>
      </c>
      <c r="B1424" s="1" t="n">
        <v>45629</v>
      </c>
      <c r="C1424" s="1" t="n">
        <v>45637</v>
      </c>
      <c r="D1424" t="inlineStr">
        <is>
          <t>KALMAR LÄN</t>
        </is>
      </c>
      <c r="E1424" t="inlineStr">
        <is>
          <t>HULTSFRED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57180-2024</t>
        </is>
      </c>
      <c r="B1425" s="1" t="n">
        <v>45629</v>
      </c>
      <c r="C1425" s="1" t="n">
        <v>45637</v>
      </c>
      <c r="D1425" t="inlineStr">
        <is>
          <t>KALMAR LÄN</t>
        </is>
      </c>
      <c r="E1425" t="inlineStr">
        <is>
          <t>HULTSFRED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57056-2024</t>
        </is>
      </c>
      <c r="B1426" s="1" t="n">
        <v>45629</v>
      </c>
      <c r="C1426" s="1" t="n">
        <v>45637</v>
      </c>
      <c r="D1426" t="inlineStr">
        <is>
          <t>KALMAR LÄN</t>
        </is>
      </c>
      <c r="E1426" t="inlineStr">
        <is>
          <t>HULTSFRED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57133-2024</t>
        </is>
      </c>
      <c r="B1427" s="1" t="n">
        <v>45629</v>
      </c>
      <c r="C1427" s="1" t="n">
        <v>45637</v>
      </c>
      <c r="D1427" t="inlineStr">
        <is>
          <t>KALMAR LÄN</t>
        </is>
      </c>
      <c r="E1427" t="inlineStr">
        <is>
          <t>HULTSFRED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45637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57524-2024</t>
        </is>
      </c>
      <c r="B1429" s="1" t="n">
        <v>45630</v>
      </c>
      <c r="C1429" s="1" t="n">
        <v>45637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45637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45637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45637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45637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58837-2024</t>
        </is>
      </c>
      <c r="B1434" s="1" t="n">
        <v>45636</v>
      </c>
      <c r="C1434" s="1" t="n">
        <v>45637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2024-12-11T15:11:30Z</dcterms:created>
  <dcterms:modified xmlns:dcterms="http://purl.org/dc/terms/" xmlns:xsi="http://www.w3.org/2001/XMLSchema-instance" xsi:type="dcterms:W3CDTF">2024-12-11T15:11:32Z</dcterms:modified>
</cp:coreProperties>
</file>