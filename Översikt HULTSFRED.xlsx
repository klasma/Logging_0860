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46200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46200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46200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46200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46200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46200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73465-2021</t>
        </is>
      </c>
      <c r="B8" s="1" t="n">
        <v>44551</v>
      </c>
      <c r="C8" s="1" t="n">
        <v>46200</v>
      </c>
      <c r="D8" t="inlineStr">
        <is>
          <t>KALMAR LÄN</t>
        </is>
      </c>
      <c r="E8" t="inlineStr">
        <is>
          <t>HULTSFRED</t>
        </is>
      </c>
      <c r="G8" t="n">
        <v>1.4</v>
      </c>
      <c r="H8" t="n">
        <v>5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Dropptaggsvamp
Talltita
Tibast
Blåsippa
Kungsfågel
Revlummer</t>
        </is>
      </c>
      <c r="S8">
        <f>HYPERLINK("https://klasma.github.io/Logging_0860/artfynd/A 73465-2021 artfynd.xlsx", "A 73465-2021")</f>
        <v/>
      </c>
      <c r="T8">
        <f>HYPERLINK("https://klasma.github.io/Logging_0860/kartor/A 73465-2021 karta.png", "A 73465-2021")</f>
        <v/>
      </c>
      <c r="U8">
        <f>HYPERLINK("https://klasma.github.io/Logging_0860/knärot/A 73465-2021 karta knärot.png", "A 73465-2021")</f>
        <v/>
      </c>
      <c r="V8">
        <f>HYPERLINK("https://klasma.github.io/Logging_0860/klagomål/A 73465-2021 FSC-klagomål.docx", "A 73465-2021")</f>
        <v/>
      </c>
      <c r="W8">
        <f>HYPERLINK("https://klasma.github.io/Logging_0860/klagomålsmail/A 73465-2021 FSC-klagomål mail.docx", "A 73465-2021")</f>
        <v/>
      </c>
      <c r="X8">
        <f>HYPERLINK("https://klasma.github.io/Logging_0860/tillsyn/A 73465-2021 tillsynsbegäran.docx", "A 73465-2021")</f>
        <v/>
      </c>
      <c r="Y8">
        <f>HYPERLINK("https://klasma.github.io/Logging_0860/tillsynsmail/A 73465-2021 tillsynsbegäran mail.docx", "A 73465-2021")</f>
        <v/>
      </c>
      <c r="Z8">
        <f>HYPERLINK("https://klasma.github.io/Logging_0860/fåglar/A 73465-2021 prioriterade fågelarter.docx", "A 73465-2021")</f>
        <v/>
      </c>
    </row>
    <row r="9" ht="15" customHeight="1">
      <c r="A9" t="inlineStr">
        <is>
          <t>A 15170-2024</t>
        </is>
      </c>
      <c r="B9" s="1" t="n">
        <v>45400</v>
      </c>
      <c r="C9" s="1" t="n">
        <v>46200</v>
      </c>
      <c r="D9" t="inlineStr">
        <is>
          <t>KALMAR LÄN</t>
        </is>
      </c>
      <c r="E9" t="inlineStr">
        <is>
          <t>HULTSFRED</t>
        </is>
      </c>
      <c r="G9" t="n">
        <v>1.5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Vårärt
Blåmossa
Rostfläck
Blåsippa
Tjäder
Skogsduva</t>
        </is>
      </c>
      <c r="S9">
        <f>HYPERLINK("https://klasma.github.io/Logging_0860/artfynd/A 15170-2024 artfynd.xlsx", "A 15170-2024")</f>
        <v/>
      </c>
      <c r="T9">
        <f>HYPERLINK("https://klasma.github.io/Logging_0860/kartor/A 15170-2024 karta.png", "A 15170-2024")</f>
        <v/>
      </c>
      <c r="U9">
        <f>HYPERLINK("https://klasma.github.io/Logging_0860/knärot/A 15170-2024 karta knärot.png", "A 15170-2024")</f>
        <v/>
      </c>
      <c r="V9">
        <f>HYPERLINK("https://klasma.github.io/Logging_0860/klagomål/A 15170-2024 FSC-klagomål.docx", "A 15170-2024")</f>
        <v/>
      </c>
      <c r="W9">
        <f>HYPERLINK("https://klasma.github.io/Logging_0860/klagomålsmail/A 15170-2024 FSC-klagomål mail.docx", "A 15170-2024")</f>
        <v/>
      </c>
      <c r="X9">
        <f>HYPERLINK("https://klasma.github.io/Logging_0860/tillsyn/A 15170-2024 tillsynsbegäran.docx", "A 15170-2024")</f>
        <v/>
      </c>
      <c r="Y9">
        <f>HYPERLINK("https://klasma.github.io/Logging_0860/tillsynsmail/A 15170-2024 tillsynsbegäran mail.docx", "A 15170-2024")</f>
        <v/>
      </c>
      <c r="Z9">
        <f>HYPERLINK("https://klasma.github.io/Logging_0860/fåglar/A 15170-2024 prioriterade fågelarter.docx", "A 15170-2024")</f>
        <v/>
      </c>
    </row>
    <row r="10" ht="15" customHeight="1">
      <c r="A10" t="inlineStr">
        <is>
          <t>A 22933-2025</t>
        </is>
      </c>
      <c r="B10" s="1" t="n">
        <v>45790</v>
      </c>
      <c r="C10" s="1" t="n">
        <v>46200</v>
      </c>
      <c r="D10" t="inlineStr">
        <is>
          <t>KALMAR LÄN</t>
        </is>
      </c>
      <c r="E10" t="inlineStr">
        <is>
          <t>HULTSFRED</t>
        </is>
      </c>
      <c r="G10" t="n">
        <v>2.3</v>
      </c>
      <c r="H10" t="n">
        <v>2</v>
      </c>
      <c r="I10" t="n">
        <v>1</v>
      </c>
      <c r="J10" t="n">
        <v>1</v>
      </c>
      <c r="K10" t="n">
        <v>2</v>
      </c>
      <c r="L10" t="n">
        <v>1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Ask
Knärot
Mindre bastardsvärmare
Mindre tåtelsmygare
Guldlockmossa
Ängskovall
Gullviva</t>
        </is>
      </c>
      <c r="S10">
        <f>HYPERLINK("https://klasma.github.io/Logging_0860/artfynd/A 22933-2025 artfynd.xlsx", "A 22933-2025")</f>
        <v/>
      </c>
      <c r="T10">
        <f>HYPERLINK("https://klasma.github.io/Logging_0860/kartor/A 22933-2025 karta.png", "A 22933-2025")</f>
        <v/>
      </c>
      <c r="U10">
        <f>HYPERLINK("https://klasma.github.io/Logging_0860/knärot/A 22933-2025 karta knärot.png", "A 22933-2025")</f>
        <v/>
      </c>
      <c r="V10">
        <f>HYPERLINK("https://klasma.github.io/Logging_0860/klagomål/A 22933-2025 FSC-klagomål.docx", "A 22933-2025")</f>
        <v/>
      </c>
      <c r="W10">
        <f>HYPERLINK("https://klasma.github.io/Logging_0860/klagomålsmail/A 22933-2025 FSC-klagomål mail.docx", "A 22933-2025")</f>
        <v/>
      </c>
      <c r="X10">
        <f>HYPERLINK("https://klasma.github.io/Logging_0860/tillsyn/A 22933-2025 tillsynsbegäran.docx", "A 22933-2025")</f>
        <v/>
      </c>
      <c r="Y10">
        <f>HYPERLINK("https://klasma.github.io/Logging_0860/tillsynsmail/A 22933-2025 tillsynsbegäran mail.docx", "A 22933-2025")</f>
        <v/>
      </c>
    </row>
    <row r="11" ht="15" customHeight="1">
      <c r="A11" t="inlineStr">
        <is>
          <t>A 37626-2024</t>
        </is>
      </c>
      <c r="B11" s="1" t="n">
        <v>45541</v>
      </c>
      <c r="C11" s="1" t="n">
        <v>46200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5.7</v>
      </c>
      <c r="H11" t="n">
        <v>4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Knärot
Ryl
Dropptaggsvamp
Svinrot
Talltita
Blåsippa
Spillkråka</t>
        </is>
      </c>
      <c r="S11">
        <f>HYPERLINK("https://klasma.github.io/Logging_0860/artfynd/A 37626-2024 artfynd.xlsx", "A 37626-2024")</f>
        <v/>
      </c>
      <c r="T11">
        <f>HYPERLINK("https://klasma.github.io/Logging_0860/kartor/A 37626-2024 karta.png", "A 37626-2024")</f>
        <v/>
      </c>
      <c r="U11">
        <f>HYPERLINK("https://klasma.github.io/Logging_0860/knärot/A 37626-2024 karta knärot.png", "A 37626-2024")</f>
        <v/>
      </c>
      <c r="V11">
        <f>HYPERLINK("https://klasma.github.io/Logging_0860/klagomål/A 37626-2024 FSC-klagomål.docx", "A 37626-2024")</f>
        <v/>
      </c>
      <c r="W11">
        <f>HYPERLINK("https://klasma.github.io/Logging_0860/klagomålsmail/A 37626-2024 FSC-klagomål mail.docx", "A 37626-2024")</f>
        <v/>
      </c>
      <c r="X11">
        <f>HYPERLINK("https://klasma.github.io/Logging_0860/tillsyn/A 37626-2024 tillsynsbegäran.docx", "A 37626-2024")</f>
        <v/>
      </c>
      <c r="Y11">
        <f>HYPERLINK("https://klasma.github.io/Logging_0860/tillsynsmail/A 37626-2024 tillsynsbegäran mail.docx", "A 37626-2024")</f>
        <v/>
      </c>
      <c r="Z11">
        <f>HYPERLINK("https://klasma.github.io/Logging_0860/fåglar/A 37626-2024 prioriterade fågelarter.docx", "A 37626-2024")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46200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6</v>
      </c>
      <c r="R12" s="2" t="inlineStr">
        <is>
          <t>Silverblåvinge
Smalsprötad bastardsvärmare
Gullklöver
Mindre purpurmätare
Svartvit taggsvamp
Ögonvaxing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51647-2025</t>
        </is>
      </c>
      <c r="B13" s="1" t="n">
        <v>45950</v>
      </c>
      <c r="C13" s="1" t="n">
        <v>46200</v>
      </c>
      <c r="D13" t="inlineStr">
        <is>
          <t>KALMAR LÄN</t>
        </is>
      </c>
      <c r="E13" t="inlineStr">
        <is>
          <t>HULTSFRED</t>
        </is>
      </c>
      <c r="G13" t="n">
        <v>10.5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Gullpudra
Slåtterfibbla
Spillkråka
Tallört (aggregat)
Gullviva</t>
        </is>
      </c>
      <c r="S13">
        <f>HYPERLINK("https://klasma.github.io/Logging_0860/artfynd/A 51647-2025 artfynd.xlsx", "A 51647-2025")</f>
        <v/>
      </c>
      <c r="T13">
        <f>HYPERLINK("https://klasma.github.io/Logging_0860/kartor/A 51647-2025 karta.png", "A 51647-2025")</f>
        <v/>
      </c>
      <c r="U13">
        <f>HYPERLINK("https://klasma.github.io/Logging_0860/knärot/A 51647-2025 karta knärot.png", "A 51647-2025")</f>
        <v/>
      </c>
      <c r="V13">
        <f>HYPERLINK("https://klasma.github.io/Logging_0860/klagomål/A 51647-2025 FSC-klagomål.docx", "A 51647-2025")</f>
        <v/>
      </c>
      <c r="W13">
        <f>HYPERLINK("https://klasma.github.io/Logging_0860/klagomålsmail/A 51647-2025 FSC-klagomål mail.docx", "A 51647-2025")</f>
        <v/>
      </c>
      <c r="X13">
        <f>HYPERLINK("https://klasma.github.io/Logging_0860/tillsyn/A 51647-2025 tillsynsbegäran.docx", "A 51647-2025")</f>
        <v/>
      </c>
      <c r="Y13">
        <f>HYPERLINK("https://klasma.github.io/Logging_0860/tillsynsmail/A 51647-2025 tillsynsbegäran mail.docx", "A 51647-2025")</f>
        <v/>
      </c>
      <c r="Z13">
        <f>HYPERLINK("https://klasma.github.io/Logging_0860/fåglar/A 51647-2025 prioriterade fågelarter.docx", "A 51647-2025")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46200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Fransfladdermus
Nordfladdermus
Dvärgpipistrell
Vattenfladdermus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13006-2024</t>
        </is>
      </c>
      <c r="B15" s="1" t="n">
        <v>45385</v>
      </c>
      <c r="C15" s="1" t="n">
        <v>46200</v>
      </c>
      <c r="D15" t="inlineStr">
        <is>
          <t>KALMAR LÄN</t>
        </is>
      </c>
      <c r="E15" t="inlineStr">
        <is>
          <t>HULTSFRED</t>
        </is>
      </c>
      <c r="G15" t="n">
        <v>1.6</v>
      </c>
      <c r="H15" t="n">
        <v>2</v>
      </c>
      <c r="I15" t="n">
        <v>0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4</v>
      </c>
      <c r="P15" t="n">
        <v>3</v>
      </c>
      <c r="Q15" t="n">
        <v>5</v>
      </c>
      <c r="R15" s="2" t="inlineStr">
        <is>
          <t>Knärot
Slåttergubbe
Slåttergubbemal
Skarp dropptaggsvamp
Blåsippa</t>
        </is>
      </c>
      <c r="S15">
        <f>HYPERLINK("https://klasma.github.io/Logging_0860/artfynd/A 13006-2024 artfynd.xlsx", "A 13006-2024")</f>
        <v/>
      </c>
      <c r="T15">
        <f>HYPERLINK("https://klasma.github.io/Logging_0860/kartor/A 13006-2024 karta.png", "A 13006-2024")</f>
        <v/>
      </c>
      <c r="U15">
        <f>HYPERLINK("https://klasma.github.io/Logging_0860/knärot/A 13006-2024 karta knärot.png", "A 13006-2024")</f>
        <v/>
      </c>
      <c r="V15">
        <f>HYPERLINK("https://klasma.github.io/Logging_0860/klagomål/A 13006-2024 FSC-klagomål.docx", "A 13006-2024")</f>
        <v/>
      </c>
      <c r="W15">
        <f>HYPERLINK("https://klasma.github.io/Logging_0860/klagomålsmail/A 13006-2024 FSC-klagomål mail.docx", "A 13006-2024")</f>
        <v/>
      </c>
      <c r="X15">
        <f>HYPERLINK("https://klasma.github.io/Logging_0860/tillsyn/A 13006-2024 tillsynsbegäran.docx", "A 13006-2024")</f>
        <v/>
      </c>
      <c r="Y15">
        <f>HYPERLINK("https://klasma.github.io/Logging_0860/tillsynsmail/A 13006-2024 tillsynsbegäran mail.docx", "A 13006-2024")</f>
        <v/>
      </c>
    </row>
    <row r="16" ht="15" customHeight="1">
      <c r="A16" t="inlineStr">
        <is>
          <t>A 15094-2024</t>
        </is>
      </c>
      <c r="B16" s="1" t="n">
        <v>45399</v>
      </c>
      <c r="C16" s="1" t="n">
        <v>46200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Grönsångare
Grovticka
Spillkråka
Gullviva</t>
        </is>
      </c>
      <c r="S16">
        <f>HYPERLINK("https://klasma.github.io/Logging_0860/artfynd/A 15094-2024 artfynd.xlsx", "A 15094-2024")</f>
        <v/>
      </c>
      <c r="T16">
        <f>HYPERLINK("https://klasma.github.io/Logging_0860/kartor/A 15094-2024 karta.png", "A 15094-2024")</f>
        <v/>
      </c>
      <c r="U16">
        <f>HYPERLINK("https://klasma.github.io/Logging_0860/knärot/A 15094-2024 karta knärot.png", "A 15094-2024")</f>
        <v/>
      </c>
      <c r="V16">
        <f>HYPERLINK("https://klasma.github.io/Logging_0860/klagomål/A 15094-2024 FSC-klagomål.docx", "A 15094-2024")</f>
        <v/>
      </c>
      <c r="W16">
        <f>HYPERLINK("https://klasma.github.io/Logging_0860/klagomålsmail/A 15094-2024 FSC-klagomål mail.docx", "A 15094-2024")</f>
        <v/>
      </c>
      <c r="X16">
        <f>HYPERLINK("https://klasma.github.io/Logging_0860/tillsyn/A 15094-2024 tillsynsbegäran.docx", "A 15094-2024")</f>
        <v/>
      </c>
      <c r="Y16">
        <f>HYPERLINK("https://klasma.github.io/Logging_0860/tillsynsmail/A 15094-2024 tillsynsbegäran mail.docx", "A 15094-2024")</f>
        <v/>
      </c>
      <c r="Z16">
        <f>HYPERLINK("https://klasma.github.io/Logging_0860/fåglar/A 15094-2024 prioriterade fågelarter.docx", "A 15094-2024")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46200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25776-2024</t>
        </is>
      </c>
      <c r="B18" s="1" t="n">
        <v>45466</v>
      </c>
      <c r="C18" s="1" t="n">
        <v>46200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Gulsparv
Mindre hackspett
Spillkråka
Kungsfågel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46200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46200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46200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46200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Vedskivlav
Grön sköldmossa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35517-2023</t>
        </is>
      </c>
      <c r="B23" s="1" t="n">
        <v>45147</v>
      </c>
      <c r="C23" s="1" t="n">
        <v>46200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Murgröna
Skogsödla
Revlummer</t>
        </is>
      </c>
      <c r="S23">
        <f>HYPERLINK("https://klasma.github.io/Logging_0860/artfynd/A 35517-2023 artfynd.xlsx", "A 35517-2023")</f>
        <v/>
      </c>
      <c r="T23">
        <f>HYPERLINK("https://klasma.github.io/Logging_0860/kartor/A 35517-2023 karta.png", "A 35517-2023")</f>
        <v/>
      </c>
      <c r="V23">
        <f>HYPERLINK("https://klasma.github.io/Logging_0860/klagomål/A 35517-2023 FSC-klagomål.docx", "A 35517-2023")</f>
        <v/>
      </c>
      <c r="W23">
        <f>HYPERLINK("https://klasma.github.io/Logging_0860/klagomålsmail/A 35517-2023 FSC-klagomål mail.docx", "A 35517-2023")</f>
        <v/>
      </c>
      <c r="X23">
        <f>HYPERLINK("https://klasma.github.io/Logging_0860/tillsyn/A 35517-2023 tillsynsbegäran.docx", "A 35517-2023")</f>
        <v/>
      </c>
      <c r="Y23">
        <f>HYPERLINK("https://klasma.github.io/Logging_0860/tillsynsmail/A 35517-2023 tillsynsbegäran mail.docx", "A 35517-2023")</f>
        <v/>
      </c>
    </row>
    <row r="24" ht="15" customHeight="1">
      <c r="A24" t="inlineStr">
        <is>
          <t>A 15110-2024</t>
        </is>
      </c>
      <c r="B24" s="1" t="n">
        <v>45399</v>
      </c>
      <c r="C24" s="1" t="n">
        <v>46200</v>
      </c>
      <c r="D24" t="inlineStr">
        <is>
          <t>KALMAR LÄN</t>
        </is>
      </c>
      <c r="E24" t="inlineStr">
        <is>
          <t>HULTSFRED</t>
        </is>
      </c>
      <c r="G24" t="n">
        <v>1.1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Grönsångare
Ekskinn
Klippfrullania</t>
        </is>
      </c>
      <c r="S24">
        <f>HYPERLINK("https://klasma.github.io/Logging_0860/artfynd/A 15110-2024 artfynd.xlsx", "A 15110-2024")</f>
        <v/>
      </c>
      <c r="T24">
        <f>HYPERLINK("https://klasma.github.io/Logging_0860/kartor/A 15110-2024 karta.png", "A 15110-2024")</f>
        <v/>
      </c>
      <c r="V24">
        <f>HYPERLINK("https://klasma.github.io/Logging_0860/klagomål/A 15110-2024 FSC-klagomål.docx", "A 15110-2024")</f>
        <v/>
      </c>
      <c r="W24">
        <f>HYPERLINK("https://klasma.github.io/Logging_0860/klagomålsmail/A 15110-2024 FSC-klagomål mail.docx", "A 15110-2024")</f>
        <v/>
      </c>
      <c r="X24">
        <f>HYPERLINK("https://klasma.github.io/Logging_0860/tillsyn/A 15110-2024 tillsynsbegäran.docx", "A 15110-2024")</f>
        <v/>
      </c>
      <c r="Y24">
        <f>HYPERLINK("https://klasma.github.io/Logging_0860/tillsynsmail/A 15110-2024 tillsynsbegäran mail.docx", "A 15110-2024")</f>
        <v/>
      </c>
      <c r="Z24">
        <f>HYPERLINK("https://klasma.github.io/Logging_0860/fåglar/A 15110-2024 prioriterade fågelarter.docx", "A 15110-2024")</f>
        <v/>
      </c>
    </row>
    <row r="25" ht="15" customHeight="1">
      <c r="A25" t="inlineStr">
        <is>
          <t>A 44562-2025</t>
        </is>
      </c>
      <c r="B25" s="1" t="n">
        <v>45917</v>
      </c>
      <c r="C25" s="1" t="n">
        <v>46200</v>
      </c>
      <c r="D25" t="inlineStr">
        <is>
          <t>KALMAR LÄN</t>
        </is>
      </c>
      <c r="E25" t="inlineStr">
        <is>
          <t>HULTSFRED</t>
        </is>
      </c>
      <c r="G25" t="n">
        <v>1.9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Ekticka
Sädesärla
Grönvit nattviol</t>
        </is>
      </c>
      <c r="S25">
        <f>HYPERLINK("https://klasma.github.io/Logging_0860/artfynd/A 44562-2025 artfynd.xlsx", "A 44562-2025")</f>
        <v/>
      </c>
      <c r="T25">
        <f>HYPERLINK("https://klasma.github.io/Logging_0860/kartor/A 44562-2025 karta.png", "A 44562-2025")</f>
        <v/>
      </c>
      <c r="V25">
        <f>HYPERLINK("https://klasma.github.io/Logging_0860/klagomål/A 44562-2025 FSC-klagomål.docx", "A 44562-2025")</f>
        <v/>
      </c>
      <c r="W25">
        <f>HYPERLINK("https://klasma.github.io/Logging_0860/klagomålsmail/A 44562-2025 FSC-klagomål mail.docx", "A 44562-2025")</f>
        <v/>
      </c>
      <c r="X25">
        <f>HYPERLINK("https://klasma.github.io/Logging_0860/tillsyn/A 44562-2025 tillsynsbegäran.docx", "A 44562-2025")</f>
        <v/>
      </c>
      <c r="Y25">
        <f>HYPERLINK("https://klasma.github.io/Logging_0860/tillsynsmail/A 44562-2025 tillsynsbegäran mail.docx", "A 44562-2025")</f>
        <v/>
      </c>
      <c r="Z25">
        <f>HYPERLINK("https://klasma.github.io/Logging_0860/fåglar/A 44562-2025 prioriterade fågelarter.docx", "A 44562-2025")</f>
        <v/>
      </c>
    </row>
    <row r="26" ht="15" customHeight="1">
      <c r="A26" t="inlineStr">
        <is>
          <t>A 53899-2025</t>
        </is>
      </c>
      <c r="B26" s="1" t="n">
        <v>45961</v>
      </c>
      <c r="C26" s="1" t="n">
        <v>46200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Jungfrulin
Skogshare</t>
        </is>
      </c>
      <c r="S26">
        <f>HYPERLINK("https://klasma.github.io/Logging_0860/artfynd/A 53899-2025 artfynd.xlsx", "A 53899-2025")</f>
        <v/>
      </c>
      <c r="T26">
        <f>HYPERLINK("https://klasma.github.io/Logging_0860/kartor/A 53899-2025 karta.png", "A 53899-2025")</f>
        <v/>
      </c>
      <c r="V26">
        <f>HYPERLINK("https://klasma.github.io/Logging_0860/klagomål/A 53899-2025 FSC-klagomål.docx", "A 53899-2025")</f>
        <v/>
      </c>
      <c r="W26">
        <f>HYPERLINK("https://klasma.github.io/Logging_0860/klagomålsmail/A 53899-2025 FSC-klagomål mail.docx", "A 53899-2025")</f>
        <v/>
      </c>
      <c r="X26">
        <f>HYPERLINK("https://klasma.github.io/Logging_0860/tillsyn/A 53899-2025 tillsynsbegäran.docx", "A 53899-2025")</f>
        <v/>
      </c>
      <c r="Y26">
        <f>HYPERLINK("https://klasma.github.io/Logging_0860/tillsynsmail/A 53899-2025 tillsynsbegäran mail.docx", "A 53899-2025")</f>
        <v/>
      </c>
    </row>
    <row r="27" ht="15" customHeight="1">
      <c r="A27" t="inlineStr">
        <is>
          <t>A 58031-2025</t>
        </is>
      </c>
      <c r="B27" s="1" t="n">
        <v>45982</v>
      </c>
      <c r="C27" s="1" t="n">
        <v>46200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Kungsfågel
Skogsduva
Svartvit flugsnappare</t>
        </is>
      </c>
      <c r="S27">
        <f>HYPERLINK("https://klasma.github.io/Logging_0860/artfynd/A 58031-2025 artfynd.xlsx", "A 58031-2025")</f>
        <v/>
      </c>
      <c r="T27">
        <f>HYPERLINK("https://klasma.github.io/Logging_0860/kartor/A 58031-2025 karta.png", "A 58031-2025")</f>
        <v/>
      </c>
      <c r="V27">
        <f>HYPERLINK("https://klasma.github.io/Logging_0860/klagomål/A 58031-2025 FSC-klagomål.docx", "A 58031-2025")</f>
        <v/>
      </c>
      <c r="W27">
        <f>HYPERLINK("https://klasma.github.io/Logging_0860/klagomålsmail/A 58031-2025 FSC-klagomål mail.docx", "A 58031-2025")</f>
        <v/>
      </c>
      <c r="X27">
        <f>HYPERLINK("https://klasma.github.io/Logging_0860/tillsyn/A 58031-2025 tillsynsbegäran.docx", "A 58031-2025")</f>
        <v/>
      </c>
      <c r="Y27">
        <f>HYPERLINK("https://klasma.github.io/Logging_0860/tillsynsmail/A 58031-2025 tillsynsbegäran mail.docx", "A 58031-2025")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46200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57052-2024</t>
        </is>
      </c>
      <c r="B29" s="1" t="n">
        <v>45629</v>
      </c>
      <c r="C29" s="1" t="n">
        <v>46200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Blåsippa</t>
        </is>
      </c>
      <c r="S29">
        <f>HYPERLINK("https://klasma.github.io/Logging_0860/artfynd/A 57052-2024 artfynd.xlsx", "A 57052-2024")</f>
        <v/>
      </c>
      <c r="T29">
        <f>HYPERLINK("https://klasma.github.io/Logging_0860/kartor/A 57052-2024 karta.png", "A 57052-2024")</f>
        <v/>
      </c>
      <c r="U29">
        <f>HYPERLINK("https://klasma.github.io/Logging_0860/knärot/A 57052-2024 karta knärot.png", "A 57052-2024")</f>
        <v/>
      </c>
      <c r="V29">
        <f>HYPERLINK("https://klasma.github.io/Logging_0860/klagomål/A 57052-2024 FSC-klagomål.docx", "A 57052-2024")</f>
        <v/>
      </c>
      <c r="W29">
        <f>HYPERLINK("https://klasma.github.io/Logging_0860/klagomålsmail/A 57052-2024 FSC-klagomål mail.docx", "A 57052-2024")</f>
        <v/>
      </c>
      <c r="X29">
        <f>HYPERLINK("https://klasma.github.io/Logging_0860/tillsyn/A 57052-2024 tillsynsbegäran.docx", "A 57052-2024")</f>
        <v/>
      </c>
      <c r="Y29">
        <f>HYPERLINK("https://klasma.github.io/Logging_0860/tillsynsmail/A 57052-2024 tillsynsbegäran mail.docx", "A 57052-2024")</f>
        <v/>
      </c>
    </row>
    <row r="30" ht="15" customHeight="1">
      <c r="A30" t="inlineStr">
        <is>
          <t>A 11002-2025</t>
        </is>
      </c>
      <c r="B30" s="1" t="n">
        <v>45723</v>
      </c>
      <c r="C30" s="1" t="n">
        <v>46200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Spillkråka</t>
        </is>
      </c>
      <c r="S30">
        <f>HYPERLINK("https://klasma.github.io/Logging_0860/artfynd/A 11002-2025 artfynd.xlsx", "A 11002-2025")</f>
        <v/>
      </c>
      <c r="T30">
        <f>HYPERLINK("https://klasma.github.io/Logging_0860/kartor/A 11002-2025 karta.png", "A 11002-2025")</f>
        <v/>
      </c>
      <c r="V30">
        <f>HYPERLINK("https://klasma.github.io/Logging_0860/klagomål/A 11002-2025 FSC-klagomål.docx", "A 11002-2025")</f>
        <v/>
      </c>
      <c r="W30">
        <f>HYPERLINK("https://klasma.github.io/Logging_0860/klagomålsmail/A 11002-2025 FSC-klagomål mail.docx", "A 11002-2025")</f>
        <v/>
      </c>
      <c r="X30">
        <f>HYPERLINK("https://klasma.github.io/Logging_0860/tillsyn/A 11002-2025 tillsynsbegäran.docx", "A 11002-2025")</f>
        <v/>
      </c>
      <c r="Y30">
        <f>HYPERLINK("https://klasma.github.io/Logging_0860/tillsynsmail/A 11002-2025 tillsynsbegäran mail.docx", "A 11002-2025")</f>
        <v/>
      </c>
      <c r="Z30">
        <f>HYPERLINK("https://klasma.github.io/Logging_0860/fåglar/A 11002-2025 prioriterade fågelarter.docx", "A 11002-2025")</f>
        <v/>
      </c>
    </row>
    <row r="31" ht="15" customHeight="1">
      <c r="A31" t="inlineStr">
        <is>
          <t>A 16884-2025</t>
        </is>
      </c>
      <c r="B31" s="1" t="n">
        <v>45755</v>
      </c>
      <c r="C31" s="1" t="n">
        <v>46200</v>
      </c>
      <c r="D31" t="inlineStr">
        <is>
          <t>KALMAR LÄN</t>
        </is>
      </c>
      <c r="E31" t="inlineStr">
        <is>
          <t>HULTSFRED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Åkerrödtoppa
Vanlig snok</t>
        </is>
      </c>
      <c r="S31">
        <f>HYPERLINK("https://klasma.github.io/Logging_0860/artfynd/A 16884-2025 artfynd.xlsx", "A 16884-2025")</f>
        <v/>
      </c>
      <c r="T31">
        <f>HYPERLINK("https://klasma.github.io/Logging_0860/kartor/A 16884-2025 karta.png", "A 16884-2025")</f>
        <v/>
      </c>
      <c r="V31">
        <f>HYPERLINK("https://klasma.github.io/Logging_0860/klagomål/A 16884-2025 FSC-klagomål.docx", "A 16884-2025")</f>
        <v/>
      </c>
      <c r="W31">
        <f>HYPERLINK("https://klasma.github.io/Logging_0860/klagomålsmail/A 16884-2025 FSC-klagomål mail.docx", "A 16884-2025")</f>
        <v/>
      </c>
      <c r="X31">
        <f>HYPERLINK("https://klasma.github.io/Logging_0860/tillsyn/A 16884-2025 tillsynsbegäran.docx", "A 16884-2025")</f>
        <v/>
      </c>
      <c r="Y31">
        <f>HYPERLINK("https://klasma.github.io/Logging_0860/tillsynsmail/A 16884-2025 tillsynsbegäran mail.docx", "A 16884-2025")</f>
        <v/>
      </c>
    </row>
    <row r="32" ht="15" customHeight="1">
      <c r="A32" t="inlineStr">
        <is>
          <t>A 31046-2023</t>
        </is>
      </c>
      <c r="B32" s="1" t="n">
        <v>45113</v>
      </c>
      <c r="C32" s="1" t="n">
        <v>46200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59067-2021</t>
        </is>
      </c>
      <c r="B33" s="1" t="n">
        <v>44490</v>
      </c>
      <c r="C33" s="1" t="n">
        <v>46200</v>
      </c>
      <c r="D33" t="inlineStr">
        <is>
          <t>KALMAR LÄN</t>
        </is>
      </c>
      <c r="E33" t="inlineStr">
        <is>
          <t>HULTSFRED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Dropptaggsvamp
Grönpyrola</t>
        </is>
      </c>
      <c r="S33">
        <f>HYPERLINK("https://klasma.github.io/Logging_0860/artfynd/A 59067-2021 artfynd.xlsx", "A 59067-2021")</f>
        <v/>
      </c>
      <c r="T33">
        <f>HYPERLINK("https://klasma.github.io/Logging_0860/kartor/A 59067-2021 karta.png", "A 59067-2021")</f>
        <v/>
      </c>
      <c r="V33">
        <f>HYPERLINK("https://klasma.github.io/Logging_0860/klagomål/A 59067-2021 FSC-klagomål.docx", "A 59067-2021")</f>
        <v/>
      </c>
      <c r="W33">
        <f>HYPERLINK("https://klasma.github.io/Logging_0860/klagomålsmail/A 59067-2021 FSC-klagomål mail.docx", "A 59067-2021")</f>
        <v/>
      </c>
      <c r="X33">
        <f>HYPERLINK("https://klasma.github.io/Logging_0860/tillsyn/A 59067-2021 tillsynsbegäran.docx", "A 59067-2021")</f>
        <v/>
      </c>
      <c r="Y33">
        <f>HYPERLINK("https://klasma.github.io/Logging_0860/tillsynsmail/A 59067-2021 tillsynsbegäran mail.docx", "A 59067-2021")</f>
        <v/>
      </c>
    </row>
    <row r="34" ht="15" customHeight="1">
      <c r="A34" t="inlineStr">
        <is>
          <t>A 53862-2022</t>
        </is>
      </c>
      <c r="B34" s="1" t="n">
        <v>44876</v>
      </c>
      <c r="C34" s="1" t="n">
        <v>46200</v>
      </c>
      <c r="D34" t="inlineStr">
        <is>
          <t>KALMAR LÄN</t>
        </is>
      </c>
      <c r="E34" t="inlineStr">
        <is>
          <t>HULTSFRED</t>
        </is>
      </c>
      <c r="F34" t="inlineStr">
        <is>
          <t>Kommuner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HYPERLINK("https://klasma.github.io/Logging_0860/artfynd/A 53862-2022 artfynd.xlsx", "A 53862-2022")</f>
        <v/>
      </c>
      <c r="T34">
        <f>HYPERLINK("https://klasma.github.io/Logging_0860/kartor/A 53862-2022 karta.png", "A 53862-2022")</f>
        <v/>
      </c>
      <c r="V34">
        <f>HYPERLINK("https://klasma.github.io/Logging_0860/klagomål/A 53862-2022 FSC-klagomål.docx", "A 53862-2022")</f>
        <v/>
      </c>
      <c r="W34">
        <f>HYPERLINK("https://klasma.github.io/Logging_0860/klagomålsmail/A 53862-2022 FSC-klagomål mail.docx", "A 53862-2022")</f>
        <v/>
      </c>
      <c r="X34">
        <f>HYPERLINK("https://klasma.github.io/Logging_0860/tillsyn/A 53862-2022 tillsynsbegäran.docx", "A 53862-2022")</f>
        <v/>
      </c>
      <c r="Y34">
        <f>HYPERLINK("https://klasma.github.io/Logging_0860/tillsynsmail/A 53862-2022 tillsynsbegäran mail.docx", "A 53862-2022")</f>
        <v/>
      </c>
    </row>
    <row r="35" ht="15" customHeight="1">
      <c r="A35" t="inlineStr">
        <is>
          <t>A 4964-2025</t>
        </is>
      </c>
      <c r="B35" s="1" t="n">
        <v>45690</v>
      </c>
      <c r="C35" s="1" t="n">
        <v>46200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Spillkråka
Tjäder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7201-2025</t>
        </is>
      </c>
      <c r="B36" s="1" t="n">
        <v>45702</v>
      </c>
      <c r="C36" s="1" t="n">
        <v>46200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Sångsvan</t>
        </is>
      </c>
      <c r="S36">
        <f>HYPERLINK("https://klasma.github.io/Logging_0860/artfynd/A 7201-2025 artfynd.xlsx", "A 7201-2025")</f>
        <v/>
      </c>
      <c r="T36">
        <f>HYPERLINK("https://klasma.github.io/Logging_0860/kartor/A 7201-2025 karta.png", "A 7201-2025")</f>
        <v/>
      </c>
      <c r="V36">
        <f>HYPERLINK("https://klasma.github.io/Logging_0860/klagomål/A 7201-2025 FSC-klagomål.docx", "A 7201-2025")</f>
        <v/>
      </c>
      <c r="W36">
        <f>HYPERLINK("https://klasma.github.io/Logging_0860/klagomålsmail/A 7201-2025 FSC-klagomål mail.docx", "A 7201-2025")</f>
        <v/>
      </c>
      <c r="X36">
        <f>HYPERLINK("https://klasma.github.io/Logging_0860/tillsyn/A 7201-2025 tillsynsbegäran.docx", "A 7201-2025")</f>
        <v/>
      </c>
      <c r="Y36">
        <f>HYPERLINK("https://klasma.github.io/Logging_0860/tillsynsmail/A 7201-2025 tillsynsbegäran mail.docx", "A 7201-2025")</f>
        <v/>
      </c>
      <c r="Z36">
        <f>HYPERLINK("https://klasma.github.io/Logging_0860/fåglar/A 7201-2025 prioriterade fågelarter.docx", "A 7201-2025")</f>
        <v/>
      </c>
    </row>
    <row r="37" ht="15" customHeight="1">
      <c r="A37" t="inlineStr">
        <is>
          <t>A 39875-2021</t>
        </is>
      </c>
      <c r="B37" s="1" t="n">
        <v>44417</v>
      </c>
      <c r="C37" s="1" t="n">
        <v>46200</v>
      </c>
      <c r="D37" t="inlineStr">
        <is>
          <t>KALMAR LÄN</t>
        </is>
      </c>
      <c r="E37" t="inlineStr">
        <is>
          <t>HULTSFRED</t>
        </is>
      </c>
      <c r="G37" t="n">
        <v>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Slåtterfibbla
Talltita</t>
        </is>
      </c>
      <c r="S37">
        <f>HYPERLINK("https://klasma.github.io/Logging_0860/artfynd/A 39875-2021 artfynd.xlsx", "A 39875-2021")</f>
        <v/>
      </c>
      <c r="T37">
        <f>HYPERLINK("https://klasma.github.io/Logging_0860/kartor/A 39875-2021 karta.png", "A 39875-2021")</f>
        <v/>
      </c>
      <c r="V37">
        <f>HYPERLINK("https://klasma.github.io/Logging_0860/klagomål/A 39875-2021 FSC-klagomål.docx", "A 39875-2021")</f>
        <v/>
      </c>
      <c r="W37">
        <f>HYPERLINK("https://klasma.github.io/Logging_0860/klagomålsmail/A 39875-2021 FSC-klagomål mail.docx", "A 39875-2021")</f>
        <v/>
      </c>
      <c r="X37">
        <f>HYPERLINK("https://klasma.github.io/Logging_0860/tillsyn/A 39875-2021 tillsynsbegäran.docx", "A 39875-2021")</f>
        <v/>
      </c>
      <c r="Y37">
        <f>HYPERLINK("https://klasma.github.io/Logging_0860/tillsynsmail/A 39875-2021 tillsynsbegäran mail.docx", "A 39875-2021")</f>
        <v/>
      </c>
      <c r="Z37">
        <f>HYPERLINK("https://klasma.github.io/Logging_0860/fåglar/A 39875-2021 prioriterade fågelarter.docx", "A 39875-2021")</f>
        <v/>
      </c>
    </row>
    <row r="38" ht="15" customHeight="1">
      <c r="A38" t="inlineStr">
        <is>
          <t>A 60363-2023</t>
        </is>
      </c>
      <c r="B38" s="1" t="n">
        <v>45259</v>
      </c>
      <c r="C38" s="1" t="n">
        <v>46200</v>
      </c>
      <c r="D38" t="inlineStr">
        <is>
          <t>KALMAR LÄN</t>
        </is>
      </c>
      <c r="E38" t="inlineStr">
        <is>
          <t>HULTSFRED</t>
        </is>
      </c>
      <c r="G38" t="n">
        <v>3.8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Röd glada</t>
        </is>
      </c>
      <c r="S38">
        <f>HYPERLINK("https://klasma.github.io/Logging_0860/artfynd/A 60363-2023 artfynd.xlsx", "A 60363-2023")</f>
        <v/>
      </c>
      <c r="T38">
        <f>HYPERLINK("https://klasma.github.io/Logging_0860/kartor/A 60363-2023 karta.png", "A 60363-2023")</f>
        <v/>
      </c>
      <c r="V38">
        <f>HYPERLINK("https://klasma.github.io/Logging_0860/klagomål/A 60363-2023 FSC-klagomål.docx", "A 60363-2023")</f>
        <v/>
      </c>
      <c r="W38">
        <f>HYPERLINK("https://klasma.github.io/Logging_0860/klagomålsmail/A 60363-2023 FSC-klagomål mail.docx", "A 60363-2023")</f>
        <v/>
      </c>
      <c r="X38">
        <f>HYPERLINK("https://klasma.github.io/Logging_0860/tillsyn/A 60363-2023 tillsynsbegäran.docx", "A 60363-2023")</f>
        <v/>
      </c>
      <c r="Y38">
        <f>HYPERLINK("https://klasma.github.io/Logging_0860/tillsynsmail/A 60363-2023 tillsynsbegäran mail.docx", "A 60363-2023")</f>
        <v/>
      </c>
      <c r="Z38">
        <f>HYPERLINK("https://klasma.github.io/Logging_0860/fåglar/A 60363-2023 prioriterade fågelarter.docx", "A 60363-2023")</f>
        <v/>
      </c>
    </row>
    <row r="39" ht="15" customHeight="1">
      <c r="A39" t="inlineStr">
        <is>
          <t>A 61709-2022</t>
        </is>
      </c>
      <c r="B39" s="1" t="n">
        <v>44917</v>
      </c>
      <c r="C39" s="1" t="n">
        <v>46200</v>
      </c>
      <c r="D39" t="inlineStr">
        <is>
          <t>KALMAR LÄN</t>
        </is>
      </c>
      <c r="E39" t="inlineStr">
        <is>
          <t>HULTSFRED</t>
        </is>
      </c>
      <c r="G39" t="n">
        <v>3.7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HYPERLINK("https://klasma.github.io/Logging_0860/artfynd/A 61709-2022 artfynd.xlsx", "A 61709-2022")</f>
        <v/>
      </c>
      <c r="T39">
        <f>HYPERLINK("https://klasma.github.io/Logging_0860/kartor/A 61709-2022 karta.png", "A 61709-2022")</f>
        <v/>
      </c>
      <c r="U39">
        <f>HYPERLINK("https://klasma.github.io/Logging_0860/knärot/A 61709-2022 karta knärot.png", "A 61709-2022")</f>
        <v/>
      </c>
      <c r="V39">
        <f>HYPERLINK("https://klasma.github.io/Logging_0860/klagomål/A 61709-2022 FSC-klagomål.docx", "A 61709-2022")</f>
        <v/>
      </c>
      <c r="W39">
        <f>HYPERLINK("https://klasma.github.io/Logging_0860/klagomålsmail/A 61709-2022 FSC-klagomål mail.docx", "A 61709-2022")</f>
        <v/>
      </c>
      <c r="X39">
        <f>HYPERLINK("https://klasma.github.io/Logging_0860/tillsyn/A 61709-2022 tillsynsbegäran.docx", "A 61709-2022")</f>
        <v/>
      </c>
      <c r="Y39">
        <f>HYPERLINK("https://klasma.github.io/Logging_0860/tillsynsmail/A 61709-2022 tillsynsbegäran mail.docx", "A 61709-2022")</f>
        <v/>
      </c>
    </row>
    <row r="40" ht="15" customHeight="1">
      <c r="A40" t="inlineStr">
        <is>
          <t>A 56554-2022</t>
        </is>
      </c>
      <c r="B40" s="1" t="n">
        <v>44893</v>
      </c>
      <c r="C40" s="1" t="n">
        <v>46200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Västlig hakmossa
Revlummer</t>
        </is>
      </c>
      <c r="S40">
        <f>HYPERLINK("https://klasma.github.io/Logging_0860/artfynd/A 56554-2022 artfynd.xlsx", "A 56554-2022")</f>
        <v/>
      </c>
      <c r="T40">
        <f>HYPERLINK("https://klasma.github.io/Logging_0860/kartor/A 56554-2022 karta.png", "A 56554-2022")</f>
        <v/>
      </c>
      <c r="V40">
        <f>HYPERLINK("https://klasma.github.io/Logging_0860/klagomål/A 56554-2022 FSC-klagomål.docx", "A 56554-2022")</f>
        <v/>
      </c>
      <c r="W40">
        <f>HYPERLINK("https://klasma.github.io/Logging_0860/klagomålsmail/A 56554-2022 FSC-klagomål mail.docx", "A 56554-2022")</f>
        <v/>
      </c>
      <c r="X40">
        <f>HYPERLINK("https://klasma.github.io/Logging_0860/tillsyn/A 56554-2022 tillsynsbegäran.docx", "A 56554-2022")</f>
        <v/>
      </c>
      <c r="Y40">
        <f>HYPERLINK("https://klasma.github.io/Logging_0860/tillsynsmail/A 56554-2022 tillsynsbegäran mail.docx", "A 56554-2022")</f>
        <v/>
      </c>
    </row>
    <row r="41" ht="15" customHeight="1">
      <c r="A41" t="inlineStr">
        <is>
          <t>A 74390-2021</t>
        </is>
      </c>
      <c r="B41" s="1" t="n">
        <v>44559</v>
      </c>
      <c r="C41" s="1" t="n">
        <v>46200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Dvärgkällmossa
Källmossa</t>
        </is>
      </c>
      <c r="S41">
        <f>HYPERLINK("https://klasma.github.io/Logging_0860/artfynd/A 74390-2021 artfynd.xlsx", "A 74390-2021")</f>
        <v/>
      </c>
      <c r="T41">
        <f>HYPERLINK("https://klasma.github.io/Logging_0860/kartor/A 74390-2021 karta.png", "A 74390-2021")</f>
        <v/>
      </c>
      <c r="V41">
        <f>HYPERLINK("https://klasma.github.io/Logging_0860/klagomål/A 74390-2021 FSC-klagomål.docx", "A 74390-2021")</f>
        <v/>
      </c>
      <c r="W41">
        <f>HYPERLINK("https://klasma.github.io/Logging_0860/klagomålsmail/A 74390-2021 FSC-klagomål mail.docx", "A 74390-2021")</f>
        <v/>
      </c>
      <c r="X41">
        <f>HYPERLINK("https://klasma.github.io/Logging_0860/tillsyn/A 74390-2021 tillsynsbegäran.docx", "A 74390-2021")</f>
        <v/>
      </c>
      <c r="Y41">
        <f>HYPERLINK("https://klasma.github.io/Logging_0860/tillsynsmail/A 74390-2021 tillsynsbegäran mail.docx", "A 74390-2021")</f>
        <v/>
      </c>
    </row>
    <row r="42" ht="15" customHeight="1">
      <c r="A42" t="inlineStr">
        <is>
          <t>A 10998-2025</t>
        </is>
      </c>
      <c r="B42" s="1" t="n">
        <v>45723</v>
      </c>
      <c r="C42" s="1" t="n">
        <v>46200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Grönsångare
Spillkråka</t>
        </is>
      </c>
      <c r="S42">
        <f>HYPERLINK("https://klasma.github.io/Logging_0860/artfynd/A 10998-2025 artfynd.xlsx", "A 10998-2025")</f>
        <v/>
      </c>
      <c r="T42">
        <f>HYPERLINK("https://klasma.github.io/Logging_0860/kartor/A 10998-2025 karta.png", "A 10998-2025")</f>
        <v/>
      </c>
      <c r="V42">
        <f>HYPERLINK("https://klasma.github.io/Logging_0860/klagomål/A 10998-2025 FSC-klagomål.docx", "A 10998-2025")</f>
        <v/>
      </c>
      <c r="W42">
        <f>HYPERLINK("https://klasma.github.io/Logging_0860/klagomålsmail/A 10998-2025 FSC-klagomål mail.docx", "A 10998-2025")</f>
        <v/>
      </c>
      <c r="X42">
        <f>HYPERLINK("https://klasma.github.io/Logging_0860/tillsyn/A 10998-2025 tillsynsbegäran.docx", "A 10998-2025")</f>
        <v/>
      </c>
      <c r="Y42">
        <f>HYPERLINK("https://klasma.github.io/Logging_0860/tillsynsmail/A 10998-2025 tillsynsbegäran mail.docx", "A 10998-2025")</f>
        <v/>
      </c>
      <c r="Z42">
        <f>HYPERLINK("https://klasma.github.io/Logging_0860/fåglar/A 10998-2025 prioriterade fågelarter.docx", "A 10998-2025")</f>
        <v/>
      </c>
    </row>
    <row r="43" ht="15" customHeight="1">
      <c r="A43" t="inlineStr">
        <is>
          <t>A 27527-2025</t>
        </is>
      </c>
      <c r="B43" s="1" t="n">
        <v>45813</v>
      </c>
      <c r="C43" s="1" t="n">
        <v>46200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Nattskärra
Tjäder</t>
        </is>
      </c>
      <c r="S43">
        <f>HYPERLINK("https://klasma.github.io/Logging_0860/artfynd/A 27527-2025 artfynd.xlsx", "A 27527-2025")</f>
        <v/>
      </c>
      <c r="T43">
        <f>HYPERLINK("https://klasma.github.io/Logging_0860/kartor/A 27527-2025 karta.png", "A 27527-2025")</f>
        <v/>
      </c>
      <c r="V43">
        <f>HYPERLINK("https://klasma.github.io/Logging_0860/klagomål/A 27527-2025 FSC-klagomål.docx", "A 27527-2025")</f>
        <v/>
      </c>
      <c r="W43">
        <f>HYPERLINK("https://klasma.github.io/Logging_0860/klagomålsmail/A 27527-2025 FSC-klagomål mail.docx", "A 27527-2025")</f>
        <v/>
      </c>
      <c r="X43">
        <f>HYPERLINK("https://klasma.github.io/Logging_0860/tillsyn/A 27527-2025 tillsynsbegäran.docx", "A 27527-2025")</f>
        <v/>
      </c>
      <c r="Y43">
        <f>HYPERLINK("https://klasma.github.io/Logging_0860/tillsynsmail/A 27527-2025 tillsynsbegäran mail.docx", "A 27527-2025")</f>
        <v/>
      </c>
      <c r="Z43">
        <f>HYPERLINK("https://klasma.github.io/Logging_0860/fåglar/A 27527-2025 prioriterade fågelarter.docx", "A 27527-2025")</f>
        <v/>
      </c>
    </row>
    <row r="44" ht="15" customHeight="1">
      <c r="A44" t="inlineStr">
        <is>
          <t>A 65529-2021</t>
        </is>
      </c>
      <c r="B44" s="1" t="n">
        <v>44516</v>
      </c>
      <c r="C44" s="1" t="n">
        <v>46200</v>
      </c>
      <c r="D44" t="inlineStr">
        <is>
          <t>KALMAR LÄN</t>
        </is>
      </c>
      <c r="E44" t="inlineStr">
        <is>
          <t>HULTSFRED</t>
        </is>
      </c>
      <c r="G44" t="n">
        <v>2.3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Aspelandsfibbla
Källmossa</t>
        </is>
      </c>
      <c r="S44">
        <f>HYPERLINK("https://klasma.github.io/Logging_0860/artfynd/A 65529-2021 artfynd.xlsx", "A 65529-2021")</f>
        <v/>
      </c>
      <c r="T44">
        <f>HYPERLINK("https://klasma.github.io/Logging_0860/kartor/A 65529-2021 karta.png", "A 65529-2021")</f>
        <v/>
      </c>
      <c r="V44">
        <f>HYPERLINK("https://klasma.github.io/Logging_0860/klagomål/A 65529-2021 FSC-klagomål.docx", "A 65529-2021")</f>
        <v/>
      </c>
      <c r="W44">
        <f>HYPERLINK("https://klasma.github.io/Logging_0860/klagomålsmail/A 65529-2021 FSC-klagomål mail.docx", "A 65529-2021")</f>
        <v/>
      </c>
      <c r="X44">
        <f>HYPERLINK("https://klasma.github.io/Logging_0860/tillsyn/A 65529-2021 tillsynsbegäran.docx", "A 65529-2021")</f>
        <v/>
      </c>
      <c r="Y44">
        <f>HYPERLINK("https://klasma.github.io/Logging_0860/tillsynsmail/A 65529-2021 tillsynsbegäran mail.docx", "A 65529-2021")</f>
        <v/>
      </c>
    </row>
    <row r="45" ht="15" customHeight="1">
      <c r="A45" t="inlineStr">
        <is>
          <t>A 3312-2026</t>
        </is>
      </c>
      <c r="B45" s="1" t="n">
        <v>46041</v>
      </c>
      <c r="C45" s="1" t="n">
        <v>46200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Blåsippa</t>
        </is>
      </c>
      <c r="S45">
        <f>HYPERLINK("https://klasma.github.io/Logging_0860/artfynd/A 3312-2026 artfynd.xlsx", "A 3312-2026")</f>
        <v/>
      </c>
      <c r="T45">
        <f>HYPERLINK("https://klasma.github.io/Logging_0860/kartor/A 3312-2026 karta.png", "A 3312-2026")</f>
        <v/>
      </c>
      <c r="V45">
        <f>HYPERLINK("https://klasma.github.io/Logging_0860/klagomål/A 3312-2026 FSC-klagomål.docx", "A 3312-2026")</f>
        <v/>
      </c>
      <c r="W45">
        <f>HYPERLINK("https://klasma.github.io/Logging_0860/klagomålsmail/A 3312-2026 FSC-klagomål mail.docx", "A 3312-2026")</f>
        <v/>
      </c>
      <c r="X45">
        <f>HYPERLINK("https://klasma.github.io/Logging_0860/tillsyn/A 3312-2026 tillsynsbegäran.docx", "A 3312-2026")</f>
        <v/>
      </c>
      <c r="Y45">
        <f>HYPERLINK("https://klasma.github.io/Logging_0860/tillsynsmail/A 3312-2026 tillsynsbegäran mail.docx", "A 3312-2026")</f>
        <v/>
      </c>
      <c r="Z45">
        <f>HYPERLINK("https://klasma.github.io/Logging_0860/fåglar/A 3312-2026 prioriterade fågelarter.docx", "A 3312-2026")</f>
        <v/>
      </c>
    </row>
    <row r="46" ht="15" customHeight="1">
      <c r="A46" t="inlineStr">
        <is>
          <t>A 11406-2026</t>
        </is>
      </c>
      <c r="B46" s="1" t="n">
        <v>46083</v>
      </c>
      <c r="C46" s="1" t="n">
        <v>46200</v>
      </c>
      <c r="D46" t="inlineStr">
        <is>
          <t>KALMAR LÄN</t>
        </is>
      </c>
      <c r="E46" t="inlineStr">
        <is>
          <t>HULTSFRED</t>
        </is>
      </c>
      <c r="G46" t="n">
        <v>7.3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Tallticka</t>
        </is>
      </c>
      <c r="S46">
        <f>HYPERLINK("https://klasma.github.io/Logging_0860/artfynd/A 11406-2026 artfynd.xlsx", "A 11406-2026")</f>
        <v/>
      </c>
      <c r="T46">
        <f>HYPERLINK("https://klasma.github.io/Logging_0860/kartor/A 11406-2026 karta.png", "A 11406-2026")</f>
        <v/>
      </c>
      <c r="U46">
        <f>HYPERLINK("https://klasma.github.io/Logging_0860/knärot/A 11406-2026 karta knärot.png", "A 11406-2026")</f>
        <v/>
      </c>
      <c r="V46">
        <f>HYPERLINK("https://klasma.github.io/Logging_0860/klagomål/A 11406-2026 FSC-klagomål.docx", "A 11406-2026")</f>
        <v/>
      </c>
      <c r="W46">
        <f>HYPERLINK("https://klasma.github.io/Logging_0860/klagomålsmail/A 11406-2026 FSC-klagomål mail.docx", "A 11406-2026")</f>
        <v/>
      </c>
      <c r="X46">
        <f>HYPERLINK("https://klasma.github.io/Logging_0860/tillsyn/A 11406-2026 tillsynsbegäran.docx", "A 11406-2026")</f>
        <v/>
      </c>
      <c r="Y46">
        <f>HYPERLINK("https://klasma.github.io/Logging_0860/tillsynsmail/A 11406-2026 tillsynsbegäran mail.docx", "A 11406-2026")</f>
        <v/>
      </c>
    </row>
    <row r="47" ht="15" customHeight="1">
      <c r="A47" t="inlineStr">
        <is>
          <t>A 55609-2025</t>
        </is>
      </c>
      <c r="B47" s="1" t="n">
        <v>45971</v>
      </c>
      <c r="C47" s="1" t="n">
        <v>46200</v>
      </c>
      <c r="D47" t="inlineStr">
        <is>
          <t>KALMAR LÄN</t>
        </is>
      </c>
      <c r="E47" t="inlineStr">
        <is>
          <t>HULTSFRED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Kornig nållav
Sotlav</t>
        </is>
      </c>
      <c r="S47">
        <f>HYPERLINK("https://klasma.github.io/Logging_0860/artfynd/A 55609-2025 artfynd.xlsx", "A 55609-2025")</f>
        <v/>
      </c>
      <c r="T47">
        <f>HYPERLINK("https://klasma.github.io/Logging_0860/kartor/A 55609-2025 karta.png", "A 55609-2025")</f>
        <v/>
      </c>
      <c r="V47">
        <f>HYPERLINK("https://klasma.github.io/Logging_0860/klagomål/A 55609-2025 FSC-klagomål.docx", "A 55609-2025")</f>
        <v/>
      </c>
      <c r="W47">
        <f>HYPERLINK("https://klasma.github.io/Logging_0860/klagomålsmail/A 55609-2025 FSC-klagomål mail.docx", "A 55609-2025")</f>
        <v/>
      </c>
      <c r="X47">
        <f>HYPERLINK("https://klasma.github.io/Logging_0860/tillsyn/A 55609-2025 tillsynsbegäran.docx", "A 55609-2025")</f>
        <v/>
      </c>
      <c r="Y47">
        <f>HYPERLINK("https://klasma.github.io/Logging_0860/tillsynsmail/A 55609-2025 tillsynsbegäran mail.docx", "A 55609-2025")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46200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46200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46200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46200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47350-2021</t>
        </is>
      </c>
      <c r="B52" s="1" t="n">
        <v>44447</v>
      </c>
      <c r="C52" s="1" t="n">
        <v>46200</v>
      </c>
      <c r="D52" t="inlineStr">
        <is>
          <t>KALMAR LÄN</t>
        </is>
      </c>
      <c r="E52" t="inlineStr">
        <is>
          <t>HULTSFRED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HYPERLINK("https://klasma.github.io/Logging_0860/artfynd/A 47350-2021 artfynd.xlsx", "A 47350-2021")</f>
        <v/>
      </c>
      <c r="T52">
        <f>HYPERLINK("https://klasma.github.io/Logging_0860/kartor/A 47350-2021 karta.png", "A 47350-2021")</f>
        <v/>
      </c>
      <c r="V52">
        <f>HYPERLINK("https://klasma.github.io/Logging_0860/klagomål/A 47350-2021 FSC-klagomål.docx", "A 47350-2021")</f>
        <v/>
      </c>
      <c r="W52">
        <f>HYPERLINK("https://klasma.github.io/Logging_0860/klagomålsmail/A 47350-2021 FSC-klagomål mail.docx", "A 47350-2021")</f>
        <v/>
      </c>
      <c r="X52">
        <f>HYPERLINK("https://klasma.github.io/Logging_0860/tillsyn/A 47350-2021 tillsynsbegäran.docx", "A 47350-2021")</f>
        <v/>
      </c>
      <c r="Y52">
        <f>HYPERLINK("https://klasma.github.io/Logging_0860/tillsynsmail/A 47350-2021 tillsynsbegäran mail.docx", "A 47350-2021")</f>
        <v/>
      </c>
    </row>
    <row r="53" ht="15" customHeight="1">
      <c r="A53" t="inlineStr">
        <is>
          <t>A 33601-2023</t>
        </is>
      </c>
      <c r="B53" s="1" t="n">
        <v>45132</v>
      </c>
      <c r="C53" s="1" t="n">
        <v>46200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33601-2023 artfynd.xlsx", "A 33601-2023")</f>
        <v/>
      </c>
      <c r="T53">
        <f>HYPERLINK("https://klasma.github.io/Logging_0860/kartor/A 33601-2023 karta.png", "A 33601-2023")</f>
        <v/>
      </c>
      <c r="V53">
        <f>HYPERLINK("https://klasma.github.io/Logging_0860/klagomål/A 33601-2023 FSC-klagomål.docx", "A 33601-2023")</f>
        <v/>
      </c>
      <c r="W53">
        <f>HYPERLINK("https://klasma.github.io/Logging_0860/klagomålsmail/A 33601-2023 FSC-klagomål mail.docx", "A 33601-2023")</f>
        <v/>
      </c>
      <c r="X53">
        <f>HYPERLINK("https://klasma.github.io/Logging_0860/tillsyn/A 33601-2023 tillsynsbegäran.docx", "A 33601-2023")</f>
        <v/>
      </c>
      <c r="Y53">
        <f>HYPERLINK("https://klasma.github.io/Logging_0860/tillsynsmail/A 33601-2023 tillsynsbegäran mail.docx", "A 33601-2023")</f>
        <v/>
      </c>
      <c r="Z53">
        <f>HYPERLINK("https://klasma.github.io/Logging_0860/fåglar/A 33601-2023 prioriterade fågelarter.docx", "A 33601-2023")</f>
        <v/>
      </c>
    </row>
    <row r="54" ht="15" customHeight="1">
      <c r="A54" t="inlineStr">
        <is>
          <t>A 8334-2024</t>
        </is>
      </c>
      <c r="B54" s="1" t="n">
        <v>45352</v>
      </c>
      <c r="C54" s="1" t="n">
        <v>46200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HYPERLINK("https://klasma.github.io/Logging_0860/artfynd/A 8334-2024 artfynd.xlsx", "A 8334-2024")</f>
        <v/>
      </c>
      <c r="T54">
        <f>HYPERLINK("https://klasma.github.io/Logging_0860/kartor/A 8334-2024 karta.png", "A 8334-2024")</f>
        <v/>
      </c>
      <c r="V54">
        <f>HYPERLINK("https://klasma.github.io/Logging_0860/klagomål/A 8334-2024 FSC-klagomål.docx", "A 8334-2024")</f>
        <v/>
      </c>
      <c r="W54">
        <f>HYPERLINK("https://klasma.github.io/Logging_0860/klagomålsmail/A 8334-2024 FSC-klagomål mail.docx", "A 8334-2024")</f>
        <v/>
      </c>
      <c r="X54">
        <f>HYPERLINK("https://klasma.github.io/Logging_0860/tillsyn/A 8334-2024 tillsynsbegäran.docx", "A 8334-2024")</f>
        <v/>
      </c>
      <c r="Y54">
        <f>HYPERLINK("https://klasma.github.io/Logging_0860/tillsynsmail/A 8334-2024 tillsynsbegäran mail.docx", "A 8334-2024")</f>
        <v/>
      </c>
    </row>
    <row r="55" ht="15" customHeight="1">
      <c r="A55" t="inlineStr">
        <is>
          <t>A 15440-2023</t>
        </is>
      </c>
      <c r="B55" s="1" t="n">
        <v>45016</v>
      </c>
      <c r="C55" s="1" t="n">
        <v>46200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15440-2023 artfynd.xlsx", "A 15440-2023")</f>
        <v/>
      </c>
      <c r="T55">
        <f>HYPERLINK("https://klasma.github.io/Logging_0860/kartor/A 15440-2023 karta.png", "A 15440-2023")</f>
        <v/>
      </c>
      <c r="V55">
        <f>HYPERLINK("https://klasma.github.io/Logging_0860/klagomål/A 15440-2023 FSC-klagomål.docx", "A 15440-2023")</f>
        <v/>
      </c>
      <c r="W55">
        <f>HYPERLINK("https://klasma.github.io/Logging_0860/klagomålsmail/A 15440-2023 FSC-klagomål mail.docx", "A 15440-2023")</f>
        <v/>
      </c>
      <c r="X55">
        <f>HYPERLINK("https://klasma.github.io/Logging_0860/tillsyn/A 15440-2023 tillsynsbegäran.docx", "A 15440-2023")</f>
        <v/>
      </c>
      <c r="Y55">
        <f>HYPERLINK("https://klasma.github.io/Logging_0860/tillsynsmail/A 15440-2023 tillsynsbegäran mail.docx", "A 15440-2023")</f>
        <v/>
      </c>
      <c r="Z55">
        <f>HYPERLINK("https://klasma.github.io/Logging_0860/fåglar/A 15440-2023 prioriterade fågelarter.docx", "A 15440-2023")</f>
        <v/>
      </c>
    </row>
    <row r="56" ht="15" customHeight="1">
      <c r="A56" t="inlineStr">
        <is>
          <t>A 16891-2025</t>
        </is>
      </c>
      <c r="B56" s="1" t="n">
        <v>45755</v>
      </c>
      <c r="C56" s="1" t="n">
        <v>46200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10333-2023</t>
        </is>
      </c>
      <c r="B57" s="1" t="n">
        <v>44980</v>
      </c>
      <c r="C57" s="1" t="n">
        <v>46200</v>
      </c>
      <c r="D57" t="inlineStr">
        <is>
          <t>KALMAR LÄN</t>
        </is>
      </c>
      <c r="E57" t="inlineStr">
        <is>
          <t>HULTSFRED</t>
        </is>
      </c>
      <c r="G57" t="n">
        <v>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10333-2023 artfynd.xlsx", "A 10333-2023")</f>
        <v/>
      </c>
      <c r="T57">
        <f>HYPERLINK("https://klasma.github.io/Logging_0860/kartor/A 10333-2023 karta.png", "A 10333-2023")</f>
        <v/>
      </c>
      <c r="V57">
        <f>HYPERLINK("https://klasma.github.io/Logging_0860/klagomål/A 10333-2023 FSC-klagomål.docx", "A 10333-2023")</f>
        <v/>
      </c>
      <c r="W57">
        <f>HYPERLINK("https://klasma.github.io/Logging_0860/klagomålsmail/A 10333-2023 FSC-klagomål mail.docx", "A 10333-2023")</f>
        <v/>
      </c>
      <c r="X57">
        <f>HYPERLINK("https://klasma.github.io/Logging_0860/tillsyn/A 10333-2023 tillsynsbegäran.docx", "A 10333-2023")</f>
        <v/>
      </c>
      <c r="Y57">
        <f>HYPERLINK("https://klasma.github.io/Logging_0860/tillsynsmail/A 10333-2023 tillsynsbegäran mail.docx", "A 10333-2023")</f>
        <v/>
      </c>
    </row>
    <row r="58" ht="15" customHeight="1">
      <c r="A58" t="inlineStr">
        <is>
          <t>A 49265-2024</t>
        </is>
      </c>
      <c r="B58" s="1" t="n">
        <v>45595</v>
      </c>
      <c r="C58" s="1" t="n">
        <v>46200</v>
      </c>
      <c r="D58" t="inlineStr">
        <is>
          <t>KALMAR LÄN</t>
        </is>
      </c>
      <c r="E58" t="inlineStr">
        <is>
          <t>HULTSFRED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Tennfibbla</t>
        </is>
      </c>
      <c r="S58">
        <f>HYPERLINK("https://klasma.github.io/Logging_0860/artfynd/A 49265-2024 artfynd.xlsx", "A 49265-2024")</f>
        <v/>
      </c>
      <c r="T58">
        <f>HYPERLINK("https://klasma.github.io/Logging_0860/kartor/A 49265-2024 karta.png", "A 49265-2024")</f>
        <v/>
      </c>
      <c r="V58">
        <f>HYPERLINK("https://klasma.github.io/Logging_0860/klagomål/A 49265-2024 FSC-klagomål.docx", "A 49265-2024")</f>
        <v/>
      </c>
      <c r="W58">
        <f>HYPERLINK("https://klasma.github.io/Logging_0860/klagomålsmail/A 49265-2024 FSC-klagomål mail.docx", "A 49265-2024")</f>
        <v/>
      </c>
      <c r="X58">
        <f>HYPERLINK("https://klasma.github.io/Logging_0860/tillsyn/A 49265-2024 tillsynsbegäran.docx", "A 49265-2024")</f>
        <v/>
      </c>
      <c r="Y58">
        <f>HYPERLINK("https://klasma.github.io/Logging_0860/tillsynsmail/A 49265-2024 tillsynsbegäran mail.docx", "A 49265-2024")</f>
        <v/>
      </c>
    </row>
    <row r="59" ht="15" customHeight="1">
      <c r="A59" t="inlineStr">
        <is>
          <t>A 43272-2024</t>
        </is>
      </c>
      <c r="B59" s="1" t="n">
        <v>45568</v>
      </c>
      <c r="C59" s="1" t="n">
        <v>46200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HYPERLINK("https://klasma.github.io/Logging_0860/artfynd/A 43272-2024 artfynd.xlsx", "A 43272-2024")</f>
        <v/>
      </c>
      <c r="T59">
        <f>HYPERLINK("https://klasma.github.io/Logging_0860/kartor/A 43272-2024 karta.png", "A 43272-2024")</f>
        <v/>
      </c>
      <c r="V59">
        <f>HYPERLINK("https://klasma.github.io/Logging_0860/klagomål/A 43272-2024 FSC-klagomål.docx", "A 43272-2024")</f>
        <v/>
      </c>
      <c r="W59">
        <f>HYPERLINK("https://klasma.github.io/Logging_0860/klagomålsmail/A 43272-2024 FSC-klagomål mail.docx", "A 43272-2024")</f>
        <v/>
      </c>
      <c r="X59">
        <f>HYPERLINK("https://klasma.github.io/Logging_0860/tillsyn/A 43272-2024 tillsynsbegäran.docx", "A 43272-2024")</f>
        <v/>
      </c>
      <c r="Y59">
        <f>HYPERLINK("https://klasma.github.io/Logging_0860/tillsynsmail/A 43272-2024 tillsynsbegäran mail.docx", "A 43272-2024")</f>
        <v/>
      </c>
    </row>
    <row r="60" ht="15" customHeight="1">
      <c r="A60" t="inlineStr">
        <is>
          <t>A 37916-2022</t>
        </is>
      </c>
      <c r="B60" s="1" t="n">
        <v>44811</v>
      </c>
      <c r="C60" s="1" t="n">
        <v>46200</v>
      </c>
      <c r="D60" t="inlineStr">
        <is>
          <t>KALMAR LÄN</t>
        </is>
      </c>
      <c r="E60" t="inlineStr">
        <is>
          <t>HULTSFRED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37916-2022 artfynd.xlsx", "A 37916-2022")</f>
        <v/>
      </c>
      <c r="T60">
        <f>HYPERLINK("https://klasma.github.io/Logging_0860/kartor/A 37916-2022 karta.png", "A 37916-2022")</f>
        <v/>
      </c>
      <c r="V60">
        <f>HYPERLINK("https://klasma.github.io/Logging_0860/klagomål/A 37916-2022 FSC-klagomål.docx", "A 37916-2022")</f>
        <v/>
      </c>
      <c r="W60">
        <f>HYPERLINK("https://klasma.github.io/Logging_0860/klagomålsmail/A 37916-2022 FSC-klagomål mail.docx", "A 37916-2022")</f>
        <v/>
      </c>
      <c r="X60">
        <f>HYPERLINK("https://klasma.github.io/Logging_0860/tillsyn/A 37916-2022 tillsynsbegäran.docx", "A 37916-2022")</f>
        <v/>
      </c>
      <c r="Y60">
        <f>HYPERLINK("https://klasma.github.io/Logging_0860/tillsynsmail/A 37916-2022 tillsynsbegäran mail.docx", "A 37916-2022")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46200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50296-2023</t>
        </is>
      </c>
      <c r="B62" s="1" t="n">
        <v>45216</v>
      </c>
      <c r="C62" s="1" t="n">
        <v>46200</v>
      </c>
      <c r="D62" t="inlineStr">
        <is>
          <t>KALMAR LÄN</t>
        </is>
      </c>
      <c r="E62" t="inlineStr">
        <is>
          <t>HULTSFRED</t>
        </is>
      </c>
      <c r="G62" t="n">
        <v>8.5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50296-2023 artfynd.xlsx", "A 50296-2023")</f>
        <v/>
      </c>
      <c r="T62">
        <f>HYPERLINK("https://klasma.github.io/Logging_0860/kartor/A 50296-2023 karta.png", "A 50296-2023")</f>
        <v/>
      </c>
      <c r="U62">
        <f>HYPERLINK("https://klasma.github.io/Logging_0860/knärot/A 50296-2023 karta knärot.png", "A 50296-2023")</f>
        <v/>
      </c>
      <c r="V62">
        <f>HYPERLINK("https://klasma.github.io/Logging_0860/klagomål/A 50296-2023 FSC-klagomål.docx", "A 50296-2023")</f>
        <v/>
      </c>
      <c r="W62">
        <f>HYPERLINK("https://klasma.github.io/Logging_0860/klagomålsmail/A 50296-2023 FSC-klagomål mail.docx", "A 50296-2023")</f>
        <v/>
      </c>
      <c r="X62">
        <f>HYPERLINK("https://klasma.github.io/Logging_0860/tillsyn/A 50296-2023 tillsynsbegäran.docx", "A 50296-2023")</f>
        <v/>
      </c>
      <c r="Y62">
        <f>HYPERLINK("https://klasma.github.io/Logging_0860/tillsynsmail/A 50296-2023 tillsynsbegäran mail.docx", "A 50296-2023")</f>
        <v/>
      </c>
    </row>
    <row r="63" ht="15" customHeight="1">
      <c r="A63" t="inlineStr">
        <is>
          <t>A 56100-2024</t>
        </is>
      </c>
      <c r="B63" s="1" t="n">
        <v>45624</v>
      </c>
      <c r="C63" s="1" t="n">
        <v>46200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HYPERLINK("https://klasma.github.io/Logging_0860/artfynd/A 56100-2024 artfynd.xlsx", "A 56100-2024")</f>
        <v/>
      </c>
      <c r="T63">
        <f>HYPERLINK("https://klasma.github.io/Logging_0860/kartor/A 56100-2024 karta.png", "A 56100-2024")</f>
        <v/>
      </c>
      <c r="V63">
        <f>HYPERLINK("https://klasma.github.io/Logging_0860/klagomål/A 56100-2024 FSC-klagomål.docx", "A 56100-2024")</f>
        <v/>
      </c>
      <c r="W63">
        <f>HYPERLINK("https://klasma.github.io/Logging_0860/klagomålsmail/A 56100-2024 FSC-klagomål mail.docx", "A 56100-2024")</f>
        <v/>
      </c>
      <c r="X63">
        <f>HYPERLINK("https://klasma.github.io/Logging_0860/tillsyn/A 56100-2024 tillsynsbegäran.docx", "A 56100-2024")</f>
        <v/>
      </c>
      <c r="Y63">
        <f>HYPERLINK("https://klasma.github.io/Logging_0860/tillsynsmail/A 56100-2024 tillsynsbegäran mail.docx", "A 56100-2024")</f>
        <v/>
      </c>
    </row>
    <row r="64" ht="15" customHeight="1">
      <c r="A64" t="inlineStr">
        <is>
          <t>A 48938-2024</t>
        </is>
      </c>
      <c r="B64" s="1" t="n">
        <v>45594</v>
      </c>
      <c r="C64" s="1" t="n">
        <v>46200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HYPERLINK("https://klasma.github.io/Logging_0860/artfynd/A 48938-2024 artfynd.xlsx", "A 48938-2024")</f>
        <v/>
      </c>
      <c r="T64">
        <f>HYPERLINK("https://klasma.github.io/Logging_0860/kartor/A 48938-2024 karta.png", "A 48938-2024")</f>
        <v/>
      </c>
      <c r="V64">
        <f>HYPERLINK("https://klasma.github.io/Logging_0860/klagomål/A 48938-2024 FSC-klagomål.docx", "A 48938-2024")</f>
        <v/>
      </c>
      <c r="W64">
        <f>HYPERLINK("https://klasma.github.io/Logging_0860/klagomålsmail/A 48938-2024 FSC-klagomål mail.docx", "A 48938-2024")</f>
        <v/>
      </c>
      <c r="X64">
        <f>HYPERLINK("https://klasma.github.io/Logging_0860/tillsyn/A 48938-2024 tillsynsbegäran.docx", "A 48938-2024")</f>
        <v/>
      </c>
      <c r="Y64">
        <f>HYPERLINK("https://klasma.github.io/Logging_0860/tillsynsmail/A 48938-2024 tillsynsbegäran mail.docx", "A 48938-2024")</f>
        <v/>
      </c>
      <c r="Z64">
        <f>HYPERLINK("https://klasma.github.io/Logging_0860/fåglar/A 48938-2024 prioriterade fågelarter.docx", "A 48938-2024")</f>
        <v/>
      </c>
    </row>
    <row r="65" ht="15" customHeight="1">
      <c r="A65" t="inlineStr">
        <is>
          <t>A 14095-2023</t>
        </is>
      </c>
      <c r="B65" s="1" t="n">
        <v>45009</v>
      </c>
      <c r="C65" s="1" t="n">
        <v>46200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25475-2022</t>
        </is>
      </c>
      <c r="B66" s="1" t="n">
        <v>44732</v>
      </c>
      <c r="C66" s="1" t="n">
        <v>46200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HYPERLINK("https://klasma.github.io/Logging_0860/artfynd/A 25475-2022 artfynd.xlsx", "A 25475-2022")</f>
        <v/>
      </c>
      <c r="T66">
        <f>HYPERLINK("https://klasma.github.io/Logging_0860/kartor/A 25475-2022 karta.png", "A 25475-2022")</f>
        <v/>
      </c>
      <c r="V66">
        <f>HYPERLINK("https://klasma.github.io/Logging_0860/klagomål/A 25475-2022 FSC-klagomål.docx", "A 25475-2022")</f>
        <v/>
      </c>
      <c r="W66">
        <f>HYPERLINK("https://klasma.github.io/Logging_0860/klagomålsmail/A 25475-2022 FSC-klagomål mail.docx", "A 25475-2022")</f>
        <v/>
      </c>
      <c r="X66">
        <f>HYPERLINK("https://klasma.github.io/Logging_0860/tillsyn/A 25475-2022 tillsynsbegäran.docx", "A 25475-2022")</f>
        <v/>
      </c>
      <c r="Y66">
        <f>HYPERLINK("https://klasma.github.io/Logging_0860/tillsynsmail/A 25475-2022 tillsynsbegäran mail.docx", "A 25475-2022")</f>
        <v/>
      </c>
    </row>
    <row r="67" ht="15" customHeight="1">
      <c r="A67" t="inlineStr">
        <is>
          <t>A 57173-2024</t>
        </is>
      </c>
      <c r="B67" s="1" t="n">
        <v>45629</v>
      </c>
      <c r="C67" s="1" t="n">
        <v>46200</v>
      </c>
      <c r="D67" t="inlineStr">
        <is>
          <t>KALMAR LÄN</t>
        </is>
      </c>
      <c r="E67" t="inlineStr">
        <is>
          <t>HULTSFRED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HYPERLINK("https://klasma.github.io/Logging_0860/artfynd/A 57173-2024 artfynd.xlsx", "A 57173-2024")</f>
        <v/>
      </c>
      <c r="T67">
        <f>HYPERLINK("https://klasma.github.io/Logging_0860/kartor/A 57173-2024 karta.png", "A 57173-2024")</f>
        <v/>
      </c>
      <c r="V67">
        <f>HYPERLINK("https://klasma.github.io/Logging_0860/klagomål/A 57173-2024 FSC-klagomål.docx", "A 57173-2024")</f>
        <v/>
      </c>
      <c r="W67">
        <f>HYPERLINK("https://klasma.github.io/Logging_0860/klagomålsmail/A 57173-2024 FSC-klagomål mail.docx", "A 57173-2024")</f>
        <v/>
      </c>
      <c r="X67">
        <f>HYPERLINK("https://klasma.github.io/Logging_0860/tillsyn/A 57173-2024 tillsynsbegäran.docx", "A 57173-2024")</f>
        <v/>
      </c>
      <c r="Y67">
        <f>HYPERLINK("https://klasma.github.io/Logging_0860/tillsynsmail/A 57173-2024 tillsynsbegäran mail.docx", "A 57173-2024")</f>
        <v/>
      </c>
    </row>
    <row r="68" ht="15" customHeight="1">
      <c r="A68" t="inlineStr">
        <is>
          <t>A 4254-2024</t>
        </is>
      </c>
      <c r="B68" s="1" t="n">
        <v>45324</v>
      </c>
      <c r="C68" s="1" t="n">
        <v>46200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4254-2024 artfynd.xlsx", "A 4254-2024")</f>
        <v/>
      </c>
      <c r="T68">
        <f>HYPERLINK("https://klasma.github.io/Logging_0860/kartor/A 4254-2024 karta.png", "A 4254-2024")</f>
        <v/>
      </c>
      <c r="U68">
        <f>HYPERLINK("https://klasma.github.io/Logging_0860/knärot/A 4254-2024 karta knärot.png", "A 4254-2024")</f>
        <v/>
      </c>
      <c r="V68">
        <f>HYPERLINK("https://klasma.github.io/Logging_0860/klagomål/A 4254-2024 FSC-klagomål.docx", "A 4254-2024")</f>
        <v/>
      </c>
      <c r="W68">
        <f>HYPERLINK("https://klasma.github.io/Logging_0860/klagomålsmail/A 4254-2024 FSC-klagomål mail.docx", "A 4254-2024")</f>
        <v/>
      </c>
      <c r="X68">
        <f>HYPERLINK("https://klasma.github.io/Logging_0860/tillsyn/A 4254-2024 tillsynsbegäran.docx", "A 4254-2024")</f>
        <v/>
      </c>
      <c r="Y68">
        <f>HYPERLINK("https://klasma.github.io/Logging_0860/tillsynsmail/A 4254-2024 tillsynsbegäran mail.docx", "A 4254-2024")</f>
        <v/>
      </c>
    </row>
    <row r="69" ht="15" customHeight="1">
      <c r="A69" t="inlineStr">
        <is>
          <t>A 9328-2025</t>
        </is>
      </c>
      <c r="B69" s="1" t="n">
        <v>45714</v>
      </c>
      <c r="C69" s="1" t="n">
        <v>46200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Smal sågmossa</t>
        </is>
      </c>
      <c r="S69">
        <f>HYPERLINK("https://klasma.github.io/Logging_0860/artfynd/A 9328-2025 artfynd.xlsx", "A 9328-2025")</f>
        <v/>
      </c>
      <c r="T69">
        <f>HYPERLINK("https://klasma.github.io/Logging_0860/kartor/A 9328-2025 karta.png", "A 9328-2025")</f>
        <v/>
      </c>
      <c r="V69">
        <f>HYPERLINK("https://klasma.github.io/Logging_0860/klagomål/A 9328-2025 FSC-klagomål.docx", "A 9328-2025")</f>
        <v/>
      </c>
      <c r="W69">
        <f>HYPERLINK("https://klasma.github.io/Logging_0860/klagomålsmail/A 9328-2025 FSC-klagomål mail.docx", "A 9328-2025")</f>
        <v/>
      </c>
      <c r="X69">
        <f>HYPERLINK("https://klasma.github.io/Logging_0860/tillsyn/A 9328-2025 tillsynsbegäran.docx", "A 9328-2025")</f>
        <v/>
      </c>
      <c r="Y69">
        <f>HYPERLINK("https://klasma.github.io/Logging_0860/tillsynsmail/A 9328-2025 tillsynsbegäran mail.docx", "A 9328-2025")</f>
        <v/>
      </c>
    </row>
    <row r="70" ht="15" customHeight="1">
      <c r="A70" t="inlineStr">
        <is>
          <t>A 42773-2024</t>
        </is>
      </c>
      <c r="B70" s="1" t="n">
        <v>45566</v>
      </c>
      <c r="C70" s="1" t="n">
        <v>46200</v>
      </c>
      <c r="D70" t="inlineStr">
        <is>
          <t>KALMAR LÄN</t>
        </is>
      </c>
      <c r="E70" t="inlineStr">
        <is>
          <t>HULTSFRED</t>
        </is>
      </c>
      <c r="G70" t="n">
        <v>0.3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HYPERLINK("https://klasma.github.io/Logging_0860/artfynd/A 42773-2024 artfynd.xlsx", "A 42773-2024")</f>
        <v/>
      </c>
      <c r="T70">
        <f>HYPERLINK("https://klasma.github.io/Logging_0860/kartor/A 42773-2024 karta.png", "A 42773-2024")</f>
        <v/>
      </c>
      <c r="V70">
        <f>HYPERLINK("https://klasma.github.io/Logging_0860/klagomål/A 42773-2024 FSC-klagomål.docx", "A 42773-2024")</f>
        <v/>
      </c>
      <c r="W70">
        <f>HYPERLINK("https://klasma.github.io/Logging_0860/klagomålsmail/A 42773-2024 FSC-klagomål mail.docx", "A 42773-2024")</f>
        <v/>
      </c>
      <c r="X70">
        <f>HYPERLINK("https://klasma.github.io/Logging_0860/tillsyn/A 42773-2024 tillsynsbegäran.docx", "A 42773-2024")</f>
        <v/>
      </c>
      <c r="Y70">
        <f>HYPERLINK("https://klasma.github.io/Logging_0860/tillsynsmail/A 42773-2024 tillsynsbegäran mail.docx", "A 42773-2024")</f>
        <v/>
      </c>
    </row>
    <row r="71" ht="15" customHeight="1">
      <c r="A71" t="inlineStr">
        <is>
          <t>A 21268-2022</t>
        </is>
      </c>
      <c r="B71" s="1" t="n">
        <v>44705</v>
      </c>
      <c r="C71" s="1" t="n">
        <v>46200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Strimsporrebagge</t>
        </is>
      </c>
      <c r="S71">
        <f>HYPERLINK("https://klasma.github.io/Logging_0860/artfynd/A 21268-2022 artfynd.xlsx", "A 21268-2022")</f>
        <v/>
      </c>
      <c r="T71">
        <f>HYPERLINK("https://klasma.github.io/Logging_0860/kartor/A 21268-2022 karta.png", "A 21268-2022")</f>
        <v/>
      </c>
      <c r="V71">
        <f>HYPERLINK("https://klasma.github.io/Logging_0860/klagomål/A 21268-2022 FSC-klagomål.docx", "A 21268-2022")</f>
        <v/>
      </c>
      <c r="W71">
        <f>HYPERLINK("https://klasma.github.io/Logging_0860/klagomålsmail/A 21268-2022 FSC-klagomål mail.docx", "A 21268-2022")</f>
        <v/>
      </c>
      <c r="X71">
        <f>HYPERLINK("https://klasma.github.io/Logging_0860/tillsyn/A 21268-2022 tillsynsbegäran.docx", "A 21268-2022")</f>
        <v/>
      </c>
      <c r="Y71">
        <f>HYPERLINK("https://klasma.github.io/Logging_0860/tillsynsmail/A 21268-2022 tillsynsbegäran mail.docx", "A 21268-2022")</f>
        <v/>
      </c>
    </row>
    <row r="72" ht="15" customHeight="1">
      <c r="A72" t="inlineStr">
        <is>
          <t>A 5987-2025</t>
        </is>
      </c>
      <c r="B72" s="1" t="n">
        <v>45695</v>
      </c>
      <c r="C72" s="1" t="n">
        <v>46200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5987-2025 artfynd.xlsx", "A 5987-2025")</f>
        <v/>
      </c>
      <c r="T72">
        <f>HYPERLINK("https://klasma.github.io/Logging_0860/kartor/A 5987-2025 karta.png", "A 5987-2025")</f>
        <v/>
      </c>
      <c r="V72">
        <f>HYPERLINK("https://klasma.github.io/Logging_0860/klagomål/A 5987-2025 FSC-klagomål.docx", "A 5987-2025")</f>
        <v/>
      </c>
      <c r="W72">
        <f>HYPERLINK("https://klasma.github.io/Logging_0860/klagomålsmail/A 5987-2025 FSC-klagomål mail.docx", "A 5987-2025")</f>
        <v/>
      </c>
      <c r="X72">
        <f>HYPERLINK("https://klasma.github.io/Logging_0860/tillsyn/A 5987-2025 tillsynsbegäran.docx", "A 5987-2025")</f>
        <v/>
      </c>
      <c r="Y72">
        <f>HYPERLINK("https://klasma.github.io/Logging_0860/tillsynsmail/A 5987-2025 tillsynsbegäran mail.docx", "A 5987-2025")</f>
        <v/>
      </c>
    </row>
    <row r="73" ht="15" customHeight="1">
      <c r="A73" t="inlineStr">
        <is>
          <t>A 63212-2023</t>
        </is>
      </c>
      <c r="B73" s="1" t="n">
        <v>45273</v>
      </c>
      <c r="C73" s="1" t="n">
        <v>46200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HYPERLINK("https://klasma.github.io/Logging_0860/artfynd/A 63212-2023 artfynd.xlsx", "A 63212-2023")</f>
        <v/>
      </c>
      <c r="T73">
        <f>HYPERLINK("https://klasma.github.io/Logging_0860/kartor/A 63212-2023 karta.png", "A 63212-2023")</f>
        <v/>
      </c>
      <c r="V73">
        <f>HYPERLINK("https://klasma.github.io/Logging_0860/klagomål/A 63212-2023 FSC-klagomål.docx", "A 63212-2023")</f>
        <v/>
      </c>
      <c r="W73">
        <f>HYPERLINK("https://klasma.github.io/Logging_0860/klagomålsmail/A 63212-2023 FSC-klagomål mail.docx", "A 63212-2023")</f>
        <v/>
      </c>
      <c r="X73">
        <f>HYPERLINK("https://klasma.github.io/Logging_0860/tillsyn/A 63212-2023 tillsynsbegäran.docx", "A 63212-2023")</f>
        <v/>
      </c>
      <c r="Y73">
        <f>HYPERLINK("https://klasma.github.io/Logging_0860/tillsynsmail/A 63212-2023 tillsynsbegäran mail.docx", "A 63212-2023")</f>
        <v/>
      </c>
    </row>
    <row r="74" ht="15" customHeight="1">
      <c r="A74" t="inlineStr">
        <is>
          <t>A 4257-2024</t>
        </is>
      </c>
      <c r="B74" s="1" t="n">
        <v>45324</v>
      </c>
      <c r="C74" s="1" t="n">
        <v>46200</v>
      </c>
      <c r="D74" t="inlineStr">
        <is>
          <t>KALMAR LÄN</t>
        </is>
      </c>
      <c r="E74" t="inlineStr">
        <is>
          <t>HULTSFRED</t>
        </is>
      </c>
      <c r="G74" t="n">
        <v>0.3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4257-2024 artfynd.xlsx", "A 4257-2024")</f>
        <v/>
      </c>
      <c r="T74">
        <f>HYPERLINK("https://klasma.github.io/Logging_0860/kartor/A 4257-2024 karta.png", "A 4257-2024")</f>
        <v/>
      </c>
      <c r="U74">
        <f>HYPERLINK("https://klasma.github.io/Logging_0860/knärot/A 4257-2024 karta knärot.png", "A 4257-2024")</f>
        <v/>
      </c>
      <c r="V74">
        <f>HYPERLINK("https://klasma.github.io/Logging_0860/klagomål/A 4257-2024 FSC-klagomål.docx", "A 4257-2024")</f>
        <v/>
      </c>
      <c r="W74">
        <f>HYPERLINK("https://klasma.github.io/Logging_0860/klagomålsmail/A 4257-2024 FSC-klagomål mail.docx", "A 4257-2024")</f>
        <v/>
      </c>
      <c r="X74">
        <f>HYPERLINK("https://klasma.github.io/Logging_0860/tillsyn/A 4257-2024 tillsynsbegäran.docx", "A 4257-2024")</f>
        <v/>
      </c>
      <c r="Y74">
        <f>HYPERLINK("https://klasma.github.io/Logging_0860/tillsynsmail/A 4257-2024 tillsynsbegäran mail.docx", "A 4257-2024")</f>
        <v/>
      </c>
    </row>
    <row r="75" ht="15" customHeight="1">
      <c r="A75" t="inlineStr">
        <is>
          <t>A 4963-2025</t>
        </is>
      </c>
      <c r="B75" s="1" t="n">
        <v>45690</v>
      </c>
      <c r="C75" s="1" t="n">
        <v>46200</v>
      </c>
      <c r="D75" t="inlineStr">
        <is>
          <t>KALMAR LÄN</t>
        </is>
      </c>
      <c r="E75" t="inlineStr">
        <is>
          <t>HULTSFRED</t>
        </is>
      </c>
      <c r="F75" t="inlineStr">
        <is>
          <t>Sveaskog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4963-2025 artfynd.xlsx", "A 4963-2025")</f>
        <v/>
      </c>
      <c r="T75">
        <f>HYPERLINK("https://klasma.github.io/Logging_0860/kartor/A 4963-2025 karta.png", "A 4963-2025")</f>
        <v/>
      </c>
      <c r="V75">
        <f>HYPERLINK("https://klasma.github.io/Logging_0860/klagomål/A 4963-2025 FSC-klagomål.docx", "A 4963-2025")</f>
        <v/>
      </c>
      <c r="W75">
        <f>HYPERLINK("https://klasma.github.io/Logging_0860/klagomålsmail/A 4963-2025 FSC-klagomål mail.docx", "A 4963-2025")</f>
        <v/>
      </c>
      <c r="X75">
        <f>HYPERLINK("https://klasma.github.io/Logging_0860/tillsyn/A 4963-2025 tillsynsbegäran.docx", "A 4963-2025")</f>
        <v/>
      </c>
      <c r="Y75">
        <f>HYPERLINK("https://klasma.github.io/Logging_0860/tillsynsmail/A 4963-2025 tillsynsbegäran mail.docx", "A 4963-2025")</f>
        <v/>
      </c>
      <c r="Z75">
        <f>HYPERLINK("https://klasma.github.io/Logging_0860/fåglar/A 4963-2025 prioriterade fågelarter.docx", "A 4963-2025")</f>
        <v/>
      </c>
    </row>
    <row r="76" ht="15" customHeight="1">
      <c r="A76" t="inlineStr">
        <is>
          <t>A 52690-2023</t>
        </is>
      </c>
      <c r="B76" s="1" t="n">
        <v>45225</v>
      </c>
      <c r="C76" s="1" t="n">
        <v>46200</v>
      </c>
      <c r="D76" t="inlineStr">
        <is>
          <t>KALMAR LÄN</t>
        </is>
      </c>
      <c r="E76" t="inlineStr">
        <is>
          <t>HULTSFRED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HYPERLINK("https://klasma.github.io/Logging_0860/artfynd/A 52690-2023 artfynd.xlsx", "A 52690-2023")</f>
        <v/>
      </c>
      <c r="T76">
        <f>HYPERLINK("https://klasma.github.io/Logging_0860/kartor/A 52690-2023 karta.png", "A 52690-2023")</f>
        <v/>
      </c>
      <c r="V76">
        <f>HYPERLINK("https://klasma.github.io/Logging_0860/klagomål/A 52690-2023 FSC-klagomål.docx", "A 52690-2023")</f>
        <v/>
      </c>
      <c r="W76">
        <f>HYPERLINK("https://klasma.github.io/Logging_0860/klagomålsmail/A 52690-2023 FSC-klagomål mail.docx", "A 52690-2023")</f>
        <v/>
      </c>
      <c r="X76">
        <f>HYPERLINK("https://klasma.github.io/Logging_0860/tillsyn/A 52690-2023 tillsynsbegäran.docx", "A 52690-2023")</f>
        <v/>
      </c>
      <c r="Y76">
        <f>HYPERLINK("https://klasma.github.io/Logging_0860/tillsynsmail/A 52690-2023 tillsynsbegäran mail.docx", "A 52690-2023")</f>
        <v/>
      </c>
    </row>
    <row r="77" ht="15" customHeight="1">
      <c r="A77" t="inlineStr">
        <is>
          <t>A 14290-2024</t>
        </is>
      </c>
      <c r="B77" s="1" t="n">
        <v>45393</v>
      </c>
      <c r="C77" s="1" t="n">
        <v>46200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14290-2024 artfynd.xlsx", "A 14290-2024")</f>
        <v/>
      </c>
      <c r="T77">
        <f>HYPERLINK("https://klasma.github.io/Logging_0860/kartor/A 14290-2024 karta.png", "A 14290-2024")</f>
        <v/>
      </c>
      <c r="V77">
        <f>HYPERLINK("https://klasma.github.io/Logging_0860/klagomål/A 14290-2024 FSC-klagomål.docx", "A 14290-2024")</f>
        <v/>
      </c>
      <c r="W77">
        <f>HYPERLINK("https://klasma.github.io/Logging_0860/klagomålsmail/A 14290-2024 FSC-klagomål mail.docx", "A 14290-2024")</f>
        <v/>
      </c>
      <c r="X77">
        <f>HYPERLINK("https://klasma.github.io/Logging_0860/tillsyn/A 14290-2024 tillsynsbegäran.docx", "A 14290-2024")</f>
        <v/>
      </c>
      <c r="Y77">
        <f>HYPERLINK("https://klasma.github.io/Logging_0860/tillsynsmail/A 14290-2024 tillsynsbegäran mail.docx", "A 14290-2024")</f>
        <v/>
      </c>
    </row>
    <row r="78" ht="15" customHeight="1">
      <c r="A78" t="inlineStr">
        <is>
          <t>A 58470-2024</t>
        </is>
      </c>
      <c r="B78" s="1" t="n">
        <v>45635</v>
      </c>
      <c r="C78" s="1" t="n">
        <v>46200</v>
      </c>
      <c r="D78" t="inlineStr">
        <is>
          <t>KALMAR LÄN</t>
        </is>
      </c>
      <c r="E78" t="inlineStr">
        <is>
          <t>HULTSFRED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Guldlockmossa</t>
        </is>
      </c>
      <c r="S78">
        <f>HYPERLINK("https://klasma.github.io/Logging_0860/artfynd/A 58470-2024 artfynd.xlsx", "A 58470-2024")</f>
        <v/>
      </c>
      <c r="T78">
        <f>HYPERLINK("https://klasma.github.io/Logging_0860/kartor/A 58470-2024 karta.png", "A 58470-2024")</f>
        <v/>
      </c>
      <c r="V78">
        <f>HYPERLINK("https://klasma.github.io/Logging_0860/klagomål/A 58470-2024 FSC-klagomål.docx", "A 58470-2024")</f>
        <v/>
      </c>
      <c r="W78">
        <f>HYPERLINK("https://klasma.github.io/Logging_0860/klagomålsmail/A 58470-2024 FSC-klagomål mail.docx", "A 58470-2024")</f>
        <v/>
      </c>
      <c r="X78">
        <f>HYPERLINK("https://klasma.github.io/Logging_0860/tillsyn/A 58470-2024 tillsynsbegäran.docx", "A 58470-2024")</f>
        <v/>
      </c>
      <c r="Y78">
        <f>HYPERLINK("https://klasma.github.io/Logging_0860/tillsynsmail/A 58470-2024 tillsynsbegäran mail.docx", "A 58470-2024")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46200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55758-2023</t>
        </is>
      </c>
      <c r="B80" s="1" t="n">
        <v>45239</v>
      </c>
      <c r="C80" s="1" t="n">
        <v>46200</v>
      </c>
      <c r="D80" t="inlineStr">
        <is>
          <t>KALMAR LÄN</t>
        </is>
      </c>
      <c r="E80" t="inlineStr">
        <is>
          <t>HULTSFRED</t>
        </is>
      </c>
      <c r="G80" t="n">
        <v>6.7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Korskovall</t>
        </is>
      </c>
      <c r="S80">
        <f>HYPERLINK("https://klasma.github.io/Logging_0860/artfynd/A 55758-2023 artfynd.xlsx", "A 55758-2023")</f>
        <v/>
      </c>
      <c r="T80">
        <f>HYPERLINK("https://klasma.github.io/Logging_0860/kartor/A 55758-2023 karta.png", "A 55758-2023")</f>
        <v/>
      </c>
      <c r="V80">
        <f>HYPERLINK("https://klasma.github.io/Logging_0860/klagomål/A 55758-2023 FSC-klagomål.docx", "A 55758-2023")</f>
        <v/>
      </c>
      <c r="W80">
        <f>HYPERLINK("https://klasma.github.io/Logging_0860/klagomålsmail/A 55758-2023 FSC-klagomål mail.docx", "A 55758-2023")</f>
        <v/>
      </c>
      <c r="X80">
        <f>HYPERLINK("https://klasma.github.io/Logging_0860/tillsyn/A 55758-2023 tillsynsbegäran.docx", "A 55758-2023")</f>
        <v/>
      </c>
      <c r="Y80">
        <f>HYPERLINK("https://klasma.github.io/Logging_0860/tillsynsmail/A 55758-2023 tillsynsbegäran mail.docx", "A 55758-2023")</f>
        <v/>
      </c>
    </row>
    <row r="81" ht="15" customHeight="1">
      <c r="A81" t="inlineStr">
        <is>
          <t>A 16879-2025</t>
        </is>
      </c>
      <c r="B81" s="1" t="n">
        <v>45755</v>
      </c>
      <c r="C81" s="1" t="n">
        <v>46200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2.5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HYPERLINK("https://klasma.github.io/Logging_0860/artfynd/A 16879-2025 artfynd.xlsx", "A 16879-2025")</f>
        <v/>
      </c>
      <c r="T81">
        <f>HYPERLINK("https://klasma.github.io/Logging_0860/kartor/A 16879-2025 karta.png", "A 16879-2025")</f>
        <v/>
      </c>
      <c r="V81">
        <f>HYPERLINK("https://klasma.github.io/Logging_0860/klagomål/A 16879-2025 FSC-klagomål.docx", "A 16879-2025")</f>
        <v/>
      </c>
      <c r="W81">
        <f>HYPERLINK("https://klasma.github.io/Logging_0860/klagomålsmail/A 16879-2025 FSC-klagomål mail.docx", "A 16879-2025")</f>
        <v/>
      </c>
      <c r="X81">
        <f>HYPERLINK("https://klasma.github.io/Logging_0860/tillsyn/A 16879-2025 tillsynsbegäran.docx", "A 16879-2025")</f>
        <v/>
      </c>
      <c r="Y81">
        <f>HYPERLINK("https://klasma.github.io/Logging_0860/tillsynsmail/A 16879-2025 tillsynsbegäran mail.docx", "A 16879-2025")</f>
        <v/>
      </c>
      <c r="Z81">
        <f>HYPERLINK("https://klasma.github.io/Logging_0860/fåglar/A 16879-2025 prioriterade fågelarter.docx", "A 16879-2025")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46200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53203-2022</t>
        </is>
      </c>
      <c r="B83" s="1" t="n">
        <v>44876</v>
      </c>
      <c r="C83" s="1" t="n">
        <v>46200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HYPERLINK("https://klasma.github.io/Logging_0860/artfynd/A 53203-2022 artfynd.xlsx", "A 53203-2022")</f>
        <v/>
      </c>
      <c r="T83">
        <f>HYPERLINK("https://klasma.github.io/Logging_0860/kartor/A 53203-2022 karta.png", "A 53203-2022")</f>
        <v/>
      </c>
      <c r="V83">
        <f>HYPERLINK("https://klasma.github.io/Logging_0860/klagomål/A 53203-2022 FSC-klagomål.docx", "A 53203-2022")</f>
        <v/>
      </c>
      <c r="W83">
        <f>HYPERLINK("https://klasma.github.io/Logging_0860/klagomålsmail/A 53203-2022 FSC-klagomål mail.docx", "A 53203-2022")</f>
        <v/>
      </c>
      <c r="X83">
        <f>HYPERLINK("https://klasma.github.io/Logging_0860/tillsyn/A 53203-2022 tillsynsbegäran.docx", "A 53203-2022")</f>
        <v/>
      </c>
      <c r="Y83">
        <f>HYPERLINK("https://klasma.github.io/Logging_0860/tillsynsmail/A 53203-2022 tillsynsbegäran mail.docx", "A 53203-2022")</f>
        <v/>
      </c>
    </row>
    <row r="84" ht="15" customHeight="1">
      <c r="A84" t="inlineStr">
        <is>
          <t>A 57001-2024</t>
        </is>
      </c>
      <c r="B84" s="1" t="n">
        <v>45628</v>
      </c>
      <c r="C84" s="1" t="n">
        <v>46200</v>
      </c>
      <c r="D84" t="inlineStr">
        <is>
          <t>KALMAR LÄN</t>
        </is>
      </c>
      <c r="E84" t="inlineStr">
        <is>
          <t>HULTSFRED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Dvärgtufs</t>
        </is>
      </c>
      <c r="S84">
        <f>HYPERLINK("https://klasma.github.io/Logging_0860/artfynd/A 57001-2024 artfynd.xlsx", "A 57001-2024")</f>
        <v/>
      </c>
      <c r="T84">
        <f>HYPERLINK("https://klasma.github.io/Logging_0860/kartor/A 57001-2024 karta.png", "A 57001-2024")</f>
        <v/>
      </c>
      <c r="V84">
        <f>HYPERLINK("https://klasma.github.io/Logging_0860/klagomål/A 57001-2024 FSC-klagomål.docx", "A 57001-2024")</f>
        <v/>
      </c>
      <c r="W84">
        <f>HYPERLINK("https://klasma.github.io/Logging_0860/klagomålsmail/A 57001-2024 FSC-klagomål mail.docx", "A 57001-2024")</f>
        <v/>
      </c>
      <c r="X84">
        <f>HYPERLINK("https://klasma.github.io/Logging_0860/tillsyn/A 57001-2024 tillsynsbegäran.docx", "A 57001-2024")</f>
        <v/>
      </c>
      <c r="Y84">
        <f>HYPERLINK("https://klasma.github.io/Logging_0860/tillsynsmail/A 57001-2024 tillsynsbegäran mail.docx", "A 57001-2024")</f>
        <v/>
      </c>
    </row>
    <row r="85" ht="15" customHeight="1">
      <c r="A85" t="inlineStr">
        <is>
          <t>A 40256-2023</t>
        </is>
      </c>
      <c r="B85" s="1" t="n">
        <v>45169</v>
      </c>
      <c r="C85" s="1" t="n">
        <v>46200</v>
      </c>
      <c r="D85" t="inlineStr">
        <is>
          <t>KALMAR LÄN</t>
        </is>
      </c>
      <c r="E85" t="inlineStr">
        <is>
          <t>HULTSFRED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Tofsvipa</t>
        </is>
      </c>
      <c r="S85">
        <f>HYPERLINK("https://klasma.github.io/Logging_0860/artfynd/A 40256-2023 artfynd.xlsx", "A 40256-2023")</f>
        <v/>
      </c>
      <c r="T85">
        <f>HYPERLINK("https://klasma.github.io/Logging_0860/kartor/A 40256-2023 karta.png", "A 40256-2023")</f>
        <v/>
      </c>
      <c r="V85">
        <f>HYPERLINK("https://klasma.github.io/Logging_0860/klagomål/A 40256-2023 FSC-klagomål.docx", "A 40256-2023")</f>
        <v/>
      </c>
      <c r="W85">
        <f>HYPERLINK("https://klasma.github.io/Logging_0860/klagomålsmail/A 40256-2023 FSC-klagomål mail.docx", "A 40256-2023")</f>
        <v/>
      </c>
      <c r="X85">
        <f>HYPERLINK("https://klasma.github.io/Logging_0860/tillsyn/A 40256-2023 tillsynsbegäran.docx", "A 40256-2023")</f>
        <v/>
      </c>
      <c r="Y85">
        <f>HYPERLINK("https://klasma.github.io/Logging_0860/tillsynsmail/A 40256-2023 tillsynsbegäran mail.docx", "A 40256-2023")</f>
        <v/>
      </c>
    </row>
    <row r="86" ht="15" customHeight="1">
      <c r="A86" t="inlineStr">
        <is>
          <t>A 54307-2025</t>
        </is>
      </c>
      <c r="B86" s="1" t="n">
        <v>45965</v>
      </c>
      <c r="C86" s="1" t="n">
        <v>46200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HYPERLINK("https://klasma.github.io/Logging_0860/artfynd/A 54307-2025 artfynd.xlsx", "A 54307-2025")</f>
        <v/>
      </c>
      <c r="T86">
        <f>HYPERLINK("https://klasma.github.io/Logging_0860/kartor/A 54307-2025 karta.png", "A 54307-2025")</f>
        <v/>
      </c>
      <c r="V86">
        <f>HYPERLINK("https://klasma.github.io/Logging_0860/klagomål/A 54307-2025 FSC-klagomål.docx", "A 54307-2025")</f>
        <v/>
      </c>
      <c r="W86">
        <f>HYPERLINK("https://klasma.github.io/Logging_0860/klagomålsmail/A 54307-2025 FSC-klagomål mail.docx", "A 54307-2025")</f>
        <v/>
      </c>
      <c r="X86">
        <f>HYPERLINK("https://klasma.github.io/Logging_0860/tillsyn/A 54307-2025 tillsynsbegäran.docx", "A 54307-2025")</f>
        <v/>
      </c>
      <c r="Y86">
        <f>HYPERLINK("https://klasma.github.io/Logging_0860/tillsynsmail/A 54307-2025 tillsynsbegäran mail.docx", "A 54307-2025")</f>
        <v/>
      </c>
      <c r="Z86">
        <f>HYPERLINK("https://klasma.github.io/Logging_0860/fåglar/A 54307-2025 prioriterade fågelarter.docx", "A 54307-2025")</f>
        <v/>
      </c>
    </row>
    <row r="87" ht="15" customHeight="1">
      <c r="A87" t="inlineStr">
        <is>
          <t>A 16881-2025</t>
        </is>
      </c>
      <c r="B87" s="1" t="n">
        <v>45755</v>
      </c>
      <c r="C87" s="1" t="n">
        <v>46200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3.3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Enkelbeckasin</t>
        </is>
      </c>
      <c r="S87">
        <f>HYPERLINK("https://klasma.github.io/Logging_0860/artfynd/A 16881-2025 artfynd.xlsx", "A 16881-2025")</f>
        <v/>
      </c>
      <c r="T87">
        <f>HYPERLINK("https://klasma.github.io/Logging_0860/kartor/A 16881-2025 karta.png", "A 16881-2025")</f>
        <v/>
      </c>
      <c r="V87">
        <f>HYPERLINK("https://klasma.github.io/Logging_0860/klagomål/A 16881-2025 FSC-klagomål.docx", "A 16881-2025")</f>
        <v/>
      </c>
      <c r="W87">
        <f>HYPERLINK("https://klasma.github.io/Logging_0860/klagomålsmail/A 16881-2025 FSC-klagomål mail.docx", "A 16881-2025")</f>
        <v/>
      </c>
      <c r="X87">
        <f>HYPERLINK("https://klasma.github.io/Logging_0860/tillsyn/A 16881-2025 tillsynsbegäran.docx", "A 16881-2025")</f>
        <v/>
      </c>
      <c r="Y87">
        <f>HYPERLINK("https://klasma.github.io/Logging_0860/tillsynsmail/A 16881-2025 tillsynsbegäran mail.docx", "A 16881-2025")</f>
        <v/>
      </c>
      <c r="Z87">
        <f>HYPERLINK("https://klasma.github.io/Logging_0860/fåglar/A 16881-2025 prioriterade fågelarter.docx", "A 16881-2025")</f>
        <v/>
      </c>
    </row>
    <row r="88" ht="15" customHeight="1">
      <c r="A88" t="inlineStr">
        <is>
          <t>A 55614-2025</t>
        </is>
      </c>
      <c r="B88" s="1" t="n">
        <v>45971</v>
      </c>
      <c r="C88" s="1" t="n">
        <v>46200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HYPERLINK("https://klasma.github.io/Logging_0860/artfynd/A 55614-2025 artfynd.xlsx", "A 55614-2025")</f>
        <v/>
      </c>
      <c r="T88">
        <f>HYPERLINK("https://klasma.github.io/Logging_0860/kartor/A 55614-2025 karta.png", "A 55614-2025")</f>
        <v/>
      </c>
      <c r="V88">
        <f>HYPERLINK("https://klasma.github.io/Logging_0860/klagomål/A 55614-2025 FSC-klagomål.docx", "A 55614-2025")</f>
        <v/>
      </c>
      <c r="W88">
        <f>HYPERLINK("https://klasma.github.io/Logging_0860/klagomålsmail/A 55614-2025 FSC-klagomål mail.docx", "A 55614-2025")</f>
        <v/>
      </c>
      <c r="X88">
        <f>HYPERLINK("https://klasma.github.io/Logging_0860/tillsyn/A 55614-2025 tillsynsbegäran.docx", "A 55614-2025")</f>
        <v/>
      </c>
      <c r="Y88">
        <f>HYPERLINK("https://klasma.github.io/Logging_0860/tillsynsmail/A 55614-2025 tillsynsbegäran mail.docx", "A 55614-2025")</f>
        <v/>
      </c>
    </row>
    <row r="89" ht="15" customHeight="1">
      <c r="A89" t="inlineStr">
        <is>
          <t>A 2629-2023</t>
        </is>
      </c>
      <c r="B89" s="1" t="n">
        <v>44942</v>
      </c>
      <c r="C89" s="1" t="n">
        <v>46200</v>
      </c>
      <c r="D89" t="inlineStr">
        <is>
          <t>KALMAR LÄN</t>
        </is>
      </c>
      <c r="E89" t="inlineStr">
        <is>
          <t>HULTSFRED</t>
        </is>
      </c>
      <c r="G89" t="n">
        <v>58.7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HYPERLINK("https://klasma.github.io/Logging_0860/artfynd/A 2629-2023 artfynd.xlsx", "A 2629-2023")</f>
        <v/>
      </c>
      <c r="T89">
        <f>HYPERLINK("https://klasma.github.io/Logging_0860/kartor/A 2629-2023 karta.png", "A 2629-2023")</f>
        <v/>
      </c>
      <c r="V89">
        <f>HYPERLINK("https://klasma.github.io/Logging_0860/klagomål/A 2629-2023 FSC-klagomål.docx", "A 2629-2023")</f>
        <v/>
      </c>
      <c r="W89">
        <f>HYPERLINK("https://klasma.github.io/Logging_0860/klagomålsmail/A 2629-2023 FSC-klagomål mail.docx", "A 2629-2023")</f>
        <v/>
      </c>
      <c r="X89">
        <f>HYPERLINK("https://klasma.github.io/Logging_0860/tillsyn/A 2629-2023 tillsynsbegäran.docx", "A 2629-2023")</f>
        <v/>
      </c>
      <c r="Y89">
        <f>HYPERLINK("https://klasma.github.io/Logging_0860/tillsynsmail/A 2629-2023 tillsynsbegäran mail.docx", "A 2629-2023")</f>
        <v/>
      </c>
    </row>
    <row r="90" ht="15" customHeight="1">
      <c r="A90" t="inlineStr">
        <is>
          <t>A 58055-2025</t>
        </is>
      </c>
      <c r="B90" s="1" t="n">
        <v>45982</v>
      </c>
      <c r="C90" s="1" t="n">
        <v>46200</v>
      </c>
      <c r="D90" t="inlineStr">
        <is>
          <t>KALMAR LÄN</t>
        </is>
      </c>
      <c r="E90" t="inlineStr">
        <is>
          <t>HULTSFRED</t>
        </is>
      </c>
      <c r="G90" t="n">
        <v>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HYPERLINK("https://klasma.github.io/Logging_0860/artfynd/A 58055-2025 artfynd.xlsx", "A 58055-2025")</f>
        <v/>
      </c>
      <c r="T90">
        <f>HYPERLINK("https://klasma.github.io/Logging_0860/kartor/A 58055-2025 karta.png", "A 58055-2025")</f>
        <v/>
      </c>
      <c r="V90">
        <f>HYPERLINK("https://klasma.github.io/Logging_0860/klagomål/A 58055-2025 FSC-klagomål.docx", "A 58055-2025")</f>
        <v/>
      </c>
      <c r="W90">
        <f>HYPERLINK("https://klasma.github.io/Logging_0860/klagomålsmail/A 58055-2025 FSC-klagomål mail.docx", "A 58055-2025")</f>
        <v/>
      </c>
      <c r="X90">
        <f>HYPERLINK("https://klasma.github.io/Logging_0860/tillsyn/A 58055-2025 tillsynsbegäran.docx", "A 58055-2025")</f>
        <v/>
      </c>
      <c r="Y90">
        <f>HYPERLINK("https://klasma.github.io/Logging_0860/tillsynsmail/A 58055-2025 tillsynsbegäran mail.docx", "A 58055-2025")</f>
        <v/>
      </c>
    </row>
    <row r="91" ht="15" customHeight="1">
      <c r="A91" t="inlineStr">
        <is>
          <t>A 5563-2026</t>
        </is>
      </c>
      <c r="B91" s="1" t="n">
        <v>46050</v>
      </c>
      <c r="C91" s="1" t="n">
        <v>46200</v>
      </c>
      <c r="D91" t="inlineStr">
        <is>
          <t>KALMAR LÄN</t>
        </is>
      </c>
      <c r="E91" t="inlineStr">
        <is>
          <t>HULTSFRED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Smal guldkornsfibbla</t>
        </is>
      </c>
      <c r="S91">
        <f>HYPERLINK("https://klasma.github.io/Logging_0860/artfynd/A 5563-2026 artfynd.xlsx", "A 5563-2026")</f>
        <v/>
      </c>
      <c r="T91">
        <f>HYPERLINK("https://klasma.github.io/Logging_0860/kartor/A 5563-2026 karta.png", "A 5563-2026")</f>
        <v/>
      </c>
      <c r="V91">
        <f>HYPERLINK("https://klasma.github.io/Logging_0860/klagomål/A 5563-2026 FSC-klagomål.docx", "A 5563-2026")</f>
        <v/>
      </c>
      <c r="W91">
        <f>HYPERLINK("https://klasma.github.io/Logging_0860/klagomålsmail/A 5563-2026 FSC-klagomål mail.docx", "A 5563-2026")</f>
        <v/>
      </c>
      <c r="X91">
        <f>HYPERLINK("https://klasma.github.io/Logging_0860/tillsyn/A 5563-2026 tillsynsbegäran.docx", "A 5563-2026")</f>
        <v/>
      </c>
      <c r="Y91">
        <f>HYPERLINK("https://klasma.github.io/Logging_0860/tillsynsmail/A 5563-2026 tillsynsbegäran mail.docx", "A 5563-2026")</f>
        <v/>
      </c>
    </row>
    <row r="92" ht="15" customHeight="1">
      <c r="A92" t="inlineStr">
        <is>
          <t>A 11009-2026</t>
        </is>
      </c>
      <c r="B92" s="1" t="n">
        <v>46078</v>
      </c>
      <c r="C92" s="1" t="n">
        <v>46200</v>
      </c>
      <c r="D92" t="inlineStr">
        <is>
          <t>KALMAR LÄN</t>
        </is>
      </c>
      <c r="E92" t="inlineStr">
        <is>
          <t>HULTSFRED</t>
        </is>
      </c>
      <c r="F92" t="inlineStr">
        <is>
          <t>Kommuner</t>
        </is>
      </c>
      <c r="G92" t="n">
        <v>16.2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11009-2026 artfynd.xlsx", "A 11009-2026")</f>
        <v/>
      </c>
      <c r="T92">
        <f>HYPERLINK("https://klasma.github.io/Logging_0860/kartor/A 11009-2026 karta.png", "A 11009-2026")</f>
        <v/>
      </c>
      <c r="V92">
        <f>HYPERLINK("https://klasma.github.io/Logging_0860/klagomål/A 11009-2026 FSC-klagomål.docx", "A 11009-2026")</f>
        <v/>
      </c>
      <c r="W92">
        <f>HYPERLINK("https://klasma.github.io/Logging_0860/klagomålsmail/A 11009-2026 FSC-klagomål mail.docx", "A 11009-2026")</f>
        <v/>
      </c>
      <c r="X92">
        <f>HYPERLINK("https://klasma.github.io/Logging_0860/tillsyn/A 11009-2026 tillsynsbegäran.docx", "A 11009-2026")</f>
        <v/>
      </c>
      <c r="Y92">
        <f>HYPERLINK("https://klasma.github.io/Logging_0860/tillsynsmail/A 11009-2026 tillsynsbegäran mail.docx", "A 11009-2026")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46200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20928-2026</t>
        </is>
      </c>
      <c r="B94" s="1" t="n">
        <v>46142</v>
      </c>
      <c r="C94" s="1" t="n">
        <v>46200</v>
      </c>
      <c r="D94" t="inlineStr">
        <is>
          <t>KALMAR LÄN</t>
        </is>
      </c>
      <c r="E94" t="inlineStr">
        <is>
          <t>HULTSFRED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HYPERLINK("https://klasma.github.io/Logging_0860/artfynd/A 20928-2026 artfynd.xlsx", "A 20928-2026")</f>
        <v/>
      </c>
      <c r="T94">
        <f>HYPERLINK("https://klasma.github.io/Logging_0860/kartor/A 20928-2026 karta.png", "A 20928-2026")</f>
        <v/>
      </c>
      <c r="V94">
        <f>HYPERLINK("https://klasma.github.io/Logging_0860/klagomål/A 20928-2026 FSC-klagomål.docx", "A 20928-2026")</f>
        <v/>
      </c>
      <c r="W94">
        <f>HYPERLINK("https://klasma.github.io/Logging_0860/klagomålsmail/A 20928-2026 FSC-klagomål mail.docx", "A 20928-2026")</f>
        <v/>
      </c>
      <c r="X94">
        <f>HYPERLINK("https://klasma.github.io/Logging_0860/tillsyn/A 20928-2026 tillsynsbegäran.docx", "A 20928-2026")</f>
        <v/>
      </c>
      <c r="Y94">
        <f>HYPERLINK("https://klasma.github.io/Logging_0860/tillsynsmail/A 20928-2026 tillsynsbegäran mail.docx", "A 20928-2026")</f>
        <v/>
      </c>
    </row>
    <row r="95" ht="15" customHeight="1">
      <c r="A95" t="inlineStr">
        <is>
          <t>A 26805-2026</t>
        </is>
      </c>
      <c r="B95" s="1" t="n">
        <v>46185</v>
      </c>
      <c r="C95" s="1" t="n">
        <v>46200</v>
      </c>
      <c r="D95" t="inlineStr">
        <is>
          <t>KALMAR LÄN</t>
        </is>
      </c>
      <c r="E95" t="inlineStr">
        <is>
          <t>HULTSFRED</t>
        </is>
      </c>
      <c r="G95" t="n">
        <v>30.1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Karelsk maskros</t>
        </is>
      </c>
      <c r="S95">
        <f>HYPERLINK("https://klasma.github.io/Logging_0860/artfynd/A 26805-2026 artfynd.xlsx", "A 26805-2026")</f>
        <v/>
      </c>
      <c r="T95">
        <f>HYPERLINK("https://klasma.github.io/Logging_0860/kartor/A 26805-2026 karta.png", "A 26805-2026")</f>
        <v/>
      </c>
      <c r="V95">
        <f>HYPERLINK("https://klasma.github.io/Logging_0860/klagomål/A 26805-2026 FSC-klagomål.docx", "A 26805-2026")</f>
        <v/>
      </c>
      <c r="W95">
        <f>HYPERLINK("https://klasma.github.io/Logging_0860/klagomålsmail/A 26805-2026 FSC-klagomål mail.docx", "A 26805-2026")</f>
        <v/>
      </c>
      <c r="X95">
        <f>HYPERLINK("https://klasma.github.io/Logging_0860/tillsyn/A 26805-2026 tillsynsbegäran.docx", "A 26805-2026")</f>
        <v/>
      </c>
      <c r="Y95">
        <f>HYPERLINK("https://klasma.github.io/Logging_0860/tillsynsmail/A 26805-2026 tillsynsbegäran mail.docx", "A 26805-2026")</f>
        <v/>
      </c>
    </row>
    <row r="96" ht="15" customHeight="1">
      <c r="A96" t="inlineStr">
        <is>
          <t>A 41608-2025</t>
        </is>
      </c>
      <c r="B96" s="1" t="n">
        <v>45901</v>
      </c>
      <c r="C96" s="1" t="n">
        <v>46200</v>
      </c>
      <c r="D96" t="inlineStr">
        <is>
          <t>KALMAR LÄN</t>
        </is>
      </c>
      <c r="E96" t="inlineStr">
        <is>
          <t>HULTSFRED</t>
        </is>
      </c>
      <c r="G96" t="n">
        <v>7.4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HYPERLINK("https://klasma.github.io/Logging_0860/artfynd/A 41608-2025 artfynd.xlsx", "A 41608-2025")</f>
        <v/>
      </c>
      <c r="T96">
        <f>HYPERLINK("https://klasma.github.io/Logging_0860/kartor/A 41608-2025 karta.png", "A 41608-2025")</f>
        <v/>
      </c>
      <c r="V96">
        <f>HYPERLINK("https://klasma.github.io/Logging_0860/klagomål/A 41608-2025 FSC-klagomål.docx", "A 41608-2025")</f>
        <v/>
      </c>
      <c r="W96">
        <f>HYPERLINK("https://klasma.github.io/Logging_0860/klagomålsmail/A 41608-2025 FSC-klagomål mail.docx", "A 41608-2025")</f>
        <v/>
      </c>
      <c r="X96">
        <f>HYPERLINK("https://klasma.github.io/Logging_0860/tillsyn/A 41608-2025 tillsynsbegäran.docx", "A 41608-2025")</f>
        <v/>
      </c>
      <c r="Y96">
        <f>HYPERLINK("https://klasma.github.io/Logging_0860/tillsynsmail/A 41608-2025 tillsynsbegäran mail.docx", "A 41608-2025")</f>
        <v/>
      </c>
      <c r="Z96">
        <f>HYPERLINK("https://klasma.github.io/Logging_0860/fåglar/A 41608-2025 prioriterade fågelarter.docx", "A 41608-2025")</f>
        <v/>
      </c>
    </row>
    <row r="97" ht="15" customHeight="1">
      <c r="A97" t="inlineStr">
        <is>
          <t>A 28166-2026</t>
        </is>
      </c>
      <c r="B97" s="1" t="n">
        <v>46195</v>
      </c>
      <c r="C97" s="1" t="n">
        <v>46200</v>
      </c>
      <c r="D97" t="inlineStr">
        <is>
          <t>KALMAR LÄN</t>
        </is>
      </c>
      <c r="E97" t="inlineStr">
        <is>
          <t>HULTSFRED</t>
        </is>
      </c>
      <c r="F97" t="inlineStr">
        <is>
          <t>Kyrkan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HYPERLINK("https://klasma.github.io/Logging_0860/artfynd/A 28166-2026 artfynd.xlsx", "A 28166-2026")</f>
        <v/>
      </c>
      <c r="T97">
        <f>HYPERLINK("https://klasma.github.io/Logging_0860/kartor/A 28166-2026 karta.png", "A 28166-2026")</f>
        <v/>
      </c>
      <c r="V97">
        <f>HYPERLINK("https://klasma.github.io/Logging_0860/klagomål/A 28166-2026 FSC-klagomål.docx", "A 28166-2026")</f>
        <v/>
      </c>
      <c r="W97">
        <f>HYPERLINK("https://klasma.github.io/Logging_0860/klagomålsmail/A 28166-2026 FSC-klagomål mail.docx", "A 28166-2026")</f>
        <v/>
      </c>
      <c r="X97">
        <f>HYPERLINK("https://klasma.github.io/Logging_0860/tillsyn/A 28166-2026 tillsynsbegäran.docx", "A 28166-2026")</f>
        <v/>
      </c>
      <c r="Y97">
        <f>HYPERLINK("https://klasma.github.io/Logging_0860/tillsynsmail/A 28166-2026 tillsynsbegäran mail.docx", "A 28166-2026")</f>
        <v/>
      </c>
    </row>
    <row r="98" ht="15" customHeight="1">
      <c r="A98" t="inlineStr">
        <is>
          <t>A 48249-2021</t>
        </is>
      </c>
      <c r="B98" s="1" t="n">
        <v>44449</v>
      </c>
      <c r="C98" s="1" t="n">
        <v>46200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8199-2022</t>
        </is>
      </c>
      <c r="B99" s="1" t="n">
        <v>44609</v>
      </c>
      <c r="C99" s="1" t="n">
        <v>46200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298-2022</t>
        </is>
      </c>
      <c r="B100" s="1" t="n">
        <v>44564</v>
      </c>
      <c r="C100" s="1" t="n">
        <v>46200</v>
      </c>
      <c r="D100" t="inlineStr">
        <is>
          <t>KALMAR LÄN</t>
        </is>
      </c>
      <c r="E100" t="inlineStr">
        <is>
          <t>HULTSFRED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41728-2022</t>
        </is>
      </c>
      <c r="B101" s="1" t="n">
        <v>44827</v>
      </c>
      <c r="C101" s="1" t="n">
        <v>46200</v>
      </c>
      <c r="D101" t="inlineStr">
        <is>
          <t>KALMAR LÄN</t>
        </is>
      </c>
      <c r="E101" t="inlineStr">
        <is>
          <t>HULTSFRED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41729-2022</t>
        </is>
      </c>
      <c r="B102" s="1" t="n">
        <v>44827</v>
      </c>
      <c r="C102" s="1" t="n">
        <v>46200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43108-2022</t>
        </is>
      </c>
      <c r="B103" s="1" t="n">
        <v>44833</v>
      </c>
      <c r="C103" s="1" t="n">
        <v>46200</v>
      </c>
      <c r="D103" t="inlineStr">
        <is>
          <t>KALMAR LÄN</t>
        </is>
      </c>
      <c r="E103" t="inlineStr">
        <is>
          <t>HULTSFRED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35387-2021</t>
        </is>
      </c>
      <c r="B104" s="1" t="n">
        <v>44385</v>
      </c>
      <c r="C104" s="1" t="n">
        <v>46200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56140-2021</t>
        </is>
      </c>
      <c r="B105" s="1" t="n">
        <v>44477</v>
      </c>
      <c r="C105" s="1" t="n">
        <v>46200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66729-2021</t>
        </is>
      </c>
      <c r="B106" s="1" t="n">
        <v>44520</v>
      </c>
      <c r="C106" s="1" t="n">
        <v>46200</v>
      </c>
      <c r="D106" t="inlineStr">
        <is>
          <t>KALMAR LÄN</t>
        </is>
      </c>
      <c r="E106" t="inlineStr">
        <is>
          <t>HULTSFRED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48732-2021</t>
        </is>
      </c>
      <c r="B107" s="1" t="n">
        <v>44452</v>
      </c>
      <c r="C107" s="1" t="n">
        <v>46200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46200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46200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299-2022</t>
        </is>
      </c>
      <c r="B110" s="1" t="n">
        <v>44564</v>
      </c>
      <c r="C110" s="1" t="n">
        <v>46200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35392-2021</t>
        </is>
      </c>
      <c r="B111" s="1" t="n">
        <v>44385</v>
      </c>
      <c r="C111" s="1" t="n">
        <v>46200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46200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32777-2021</t>
        </is>
      </c>
      <c r="B113" s="1" t="n">
        <v>44375</v>
      </c>
      <c r="C113" s="1" t="n">
        <v>46200</v>
      </c>
      <c r="D113" t="inlineStr">
        <is>
          <t>KALMAR LÄN</t>
        </is>
      </c>
      <c r="E113" t="inlineStr">
        <is>
          <t>HULTSFRED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</v>
      </c>
      <c r="C114" s="1" t="n">
        <v>46200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</v>
      </c>
      <c r="C115" s="1" t="n">
        <v>46200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</v>
      </c>
      <c r="C116" s="1" t="n">
        <v>46200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42436-2022</t>
        </is>
      </c>
      <c r="B117" s="1" t="n">
        <v>44831</v>
      </c>
      <c r="C117" s="1" t="n">
        <v>46200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46200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70376-2021</t>
        </is>
      </c>
      <c r="B119" s="1" t="n">
        <v>44536</v>
      </c>
      <c r="C119" s="1" t="n">
        <v>46200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44200-2022</t>
        </is>
      </c>
      <c r="B120" s="1" t="n">
        <v>44839</v>
      </c>
      <c r="C120" s="1" t="n">
        <v>46200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46200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</v>
      </c>
      <c r="C122" s="1" t="n">
        <v>46200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46200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</v>
      </c>
      <c r="C124" s="1" t="n">
        <v>46200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46200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46200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16813-2022</t>
        </is>
      </c>
      <c r="B127" s="1" t="n">
        <v>44673</v>
      </c>
      <c r="C127" s="1" t="n">
        <v>46200</v>
      </c>
      <c r="D127" t="inlineStr">
        <is>
          <t>KALMAR LÄN</t>
        </is>
      </c>
      <c r="E127" t="inlineStr">
        <is>
          <t>HULTSFRED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46200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</v>
      </c>
      <c r="C129" s="1" t="n">
        <v>46200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46200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</v>
      </c>
      <c r="C131" s="1" t="n">
        <v>46200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46200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59032-2021</t>
        </is>
      </c>
      <c r="B133" s="1" t="n">
        <v>44490</v>
      </c>
      <c r="C133" s="1" t="n">
        <v>46200</v>
      </c>
      <c r="D133" t="inlineStr">
        <is>
          <t>KALMAR LÄN</t>
        </is>
      </c>
      <c r="E133" t="inlineStr">
        <is>
          <t>HULTSFRED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42315-2022</t>
        </is>
      </c>
      <c r="B134" s="1" t="n">
        <v>44831</v>
      </c>
      <c r="C134" s="1" t="n">
        <v>46200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46200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46200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46200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44803-2021</t>
        </is>
      </c>
      <c r="B138" s="1" t="n">
        <v>44438</v>
      </c>
      <c r="C138" s="1" t="n">
        <v>46200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46200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27810-2022</t>
        </is>
      </c>
      <c r="B140" s="1" t="n">
        <v>44743</v>
      </c>
      <c r="C140" s="1" t="n">
        <v>46200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40617-2021</t>
        </is>
      </c>
      <c r="B141" s="1" t="n">
        <v>44420</v>
      </c>
      <c r="C141" s="1" t="n">
        <v>46200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46200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48729-2021</t>
        </is>
      </c>
      <c r="B143" s="1" t="n">
        <v>44452</v>
      </c>
      <c r="C143" s="1" t="n">
        <v>46200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73949-2021</t>
        </is>
      </c>
      <c r="B144" s="1" t="n">
        <v>44552</v>
      </c>
      <c r="C144" s="1" t="n">
        <v>46200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32786-2021</t>
        </is>
      </c>
      <c r="B145" s="1" t="n">
        <v>44375</v>
      </c>
      <c r="C145" s="1" t="n">
        <v>46200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42792-2021</t>
        </is>
      </c>
      <c r="B146" s="1" t="n">
        <v>44428</v>
      </c>
      <c r="C146" s="1" t="n">
        <v>46200</v>
      </c>
      <c r="D146" t="inlineStr">
        <is>
          <t>KALMAR LÄN</t>
        </is>
      </c>
      <c r="E146" t="inlineStr">
        <is>
          <t>HULTSFRED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5269-2022</t>
        </is>
      </c>
      <c r="B147" s="1" t="n">
        <v>44594</v>
      </c>
      <c r="C147" s="1" t="n">
        <v>46200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5278-2022</t>
        </is>
      </c>
      <c r="B148" s="1" t="n">
        <v>44594</v>
      </c>
      <c r="C148" s="1" t="n">
        <v>46200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29741-2022</t>
        </is>
      </c>
      <c r="B149" s="1" t="n">
        <v>44755</v>
      </c>
      <c r="C149" s="1" t="n">
        <v>46200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51585-2021</t>
        </is>
      </c>
      <c r="B150" s="1" t="n">
        <v>44462</v>
      </c>
      <c r="C150" s="1" t="n">
        <v>46200</v>
      </c>
      <c r="D150" t="inlineStr">
        <is>
          <t>KALMAR LÄN</t>
        </is>
      </c>
      <c r="E150" t="inlineStr">
        <is>
          <t>HULTSFRED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68091-2021</t>
        </is>
      </c>
      <c r="B151" s="1" t="n">
        <v>44526</v>
      </c>
      <c r="C151" s="1" t="n">
        <v>46200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59203-2021</t>
        </is>
      </c>
      <c r="B152" s="1" t="n">
        <v>44490</v>
      </c>
      <c r="C152" s="1" t="n">
        <v>46200</v>
      </c>
      <c r="D152" t="inlineStr">
        <is>
          <t>KALMAR LÄN</t>
        </is>
      </c>
      <c r="E152" t="inlineStr">
        <is>
          <t>HULTSFRED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41731-2022</t>
        </is>
      </c>
      <c r="B153" s="1" t="n">
        <v>44827</v>
      </c>
      <c r="C153" s="1" t="n">
        <v>46200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46060-2021</t>
        </is>
      </c>
      <c r="B154" s="1" t="n">
        <v>44441</v>
      </c>
      <c r="C154" s="1" t="n">
        <v>46200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46200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46200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40598-2021</t>
        </is>
      </c>
      <c r="B157" s="1" t="n">
        <v>44420</v>
      </c>
      <c r="C157" s="1" t="n">
        <v>46200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54733-2021</t>
        </is>
      </c>
      <c r="B158" s="1" t="n">
        <v>44473</v>
      </c>
      <c r="C158" s="1" t="n">
        <v>46200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66721-2021</t>
        </is>
      </c>
      <c r="B159" s="1" t="n">
        <v>44519</v>
      </c>
      <c r="C159" s="1" t="n">
        <v>46200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66725-2021</t>
        </is>
      </c>
      <c r="B160" s="1" t="n">
        <v>44519</v>
      </c>
      <c r="C160" s="1" t="n">
        <v>46200</v>
      </c>
      <c r="D160" t="inlineStr">
        <is>
          <t>KALMAR LÄN</t>
        </is>
      </c>
      <c r="E160" t="inlineStr">
        <is>
          <t>HULTSFRED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66728-2021</t>
        </is>
      </c>
      <c r="B161" s="1" t="n">
        <v>44520</v>
      </c>
      <c r="C161" s="1" t="n">
        <v>46200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69566-2021</t>
        </is>
      </c>
      <c r="B162" s="1" t="n">
        <v>44532</v>
      </c>
      <c r="C162" s="1" t="n">
        <v>46200</v>
      </c>
      <c r="D162" t="inlineStr">
        <is>
          <t>KALMAR LÄN</t>
        </is>
      </c>
      <c r="E162" t="inlineStr">
        <is>
          <t>HULTSFRED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69764-2021</t>
        </is>
      </c>
      <c r="B163" s="1" t="n">
        <v>44532</v>
      </c>
      <c r="C163" s="1" t="n">
        <v>46200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17966-2022</t>
        </is>
      </c>
      <c r="B164" s="1" t="n">
        <v>44683</v>
      </c>
      <c r="C164" s="1" t="n">
        <v>46200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46200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46200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73794-2021</t>
        </is>
      </c>
      <c r="B167" s="1" t="n">
        <v>44552</v>
      </c>
      <c r="C167" s="1" t="n">
        <v>46200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35623-2021</t>
        </is>
      </c>
      <c r="B168" s="1" t="n">
        <v>44386</v>
      </c>
      <c r="C168" s="1" t="n">
        <v>46200</v>
      </c>
      <c r="D168" t="inlineStr">
        <is>
          <t>KALMAR LÄN</t>
        </is>
      </c>
      <c r="E168" t="inlineStr">
        <is>
          <t>HULTSFRED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22443-2022</t>
        </is>
      </c>
      <c r="B169" s="1" t="n">
        <v>44713</v>
      </c>
      <c r="C169" s="1" t="n">
        <v>46200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40596-2021</t>
        </is>
      </c>
      <c r="B170" s="1" t="n">
        <v>44420</v>
      </c>
      <c r="C170" s="1" t="n">
        <v>46200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46200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18536-2022</t>
        </is>
      </c>
      <c r="B172" s="1" t="n">
        <v>44686</v>
      </c>
      <c r="C172" s="1" t="n">
        <v>46200</v>
      </c>
      <c r="D172" t="inlineStr">
        <is>
          <t>KALMAR LÄN</t>
        </is>
      </c>
      <c r="E172" t="inlineStr">
        <is>
          <t>HULTSFRED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12976-2022</t>
        </is>
      </c>
      <c r="B173" s="1" t="n">
        <v>44643</v>
      </c>
      <c r="C173" s="1" t="n">
        <v>46200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40877-2022</t>
        </is>
      </c>
      <c r="B174" s="1" t="n">
        <v>44825</v>
      </c>
      <c r="C174" s="1" t="n">
        <v>46200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46200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9571-2022</t>
        </is>
      </c>
      <c r="B176" s="1" t="n">
        <v>44617</v>
      </c>
      <c r="C176" s="1" t="n">
        <v>46200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22229-2022</t>
        </is>
      </c>
      <c r="B177" s="1" t="n">
        <v>44712</v>
      </c>
      <c r="C177" s="1" t="n">
        <v>46200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42055-2021</t>
        </is>
      </c>
      <c r="B178" s="1" t="n">
        <v>44426</v>
      </c>
      <c r="C178" s="1" t="n">
        <v>46200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10995-2025</t>
        </is>
      </c>
      <c r="B179" s="1" t="n">
        <v>45723</v>
      </c>
      <c r="C179" s="1" t="n">
        <v>46200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40428-2021</t>
        </is>
      </c>
      <c r="B180" s="1" t="n">
        <v>44419</v>
      </c>
      <c r="C180" s="1" t="n">
        <v>46200</v>
      </c>
      <c r="D180" t="inlineStr">
        <is>
          <t>KALMAR LÄN</t>
        </is>
      </c>
      <c r="E180" t="inlineStr">
        <is>
          <t>HULTSFRED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40334-2023</t>
        </is>
      </c>
      <c r="B181" s="1" t="n">
        <v>45169</v>
      </c>
      <c r="C181" s="1" t="n">
        <v>46200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46200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13473-2022</t>
        </is>
      </c>
      <c r="B183" s="1" t="n">
        <v>44645</v>
      </c>
      <c r="C183" s="1" t="n">
        <v>46200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25246-2023</t>
        </is>
      </c>
      <c r="B184" s="1" t="n">
        <v>45086</v>
      </c>
      <c r="C184" s="1" t="n">
        <v>46200</v>
      </c>
      <c r="D184" t="inlineStr">
        <is>
          <t>KALMAR LÄN</t>
        </is>
      </c>
      <c r="E184" t="inlineStr">
        <is>
          <t>HULTSFRED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46200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46200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42462-2023</t>
        </is>
      </c>
      <c r="B187" s="1" t="n">
        <v>45175</v>
      </c>
      <c r="C187" s="1" t="n">
        <v>46200</v>
      </c>
      <c r="D187" t="inlineStr">
        <is>
          <t>KALMAR LÄN</t>
        </is>
      </c>
      <c r="E187" t="inlineStr">
        <is>
          <t>HULTSFRED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13449-2025</t>
        </is>
      </c>
      <c r="B188" s="1" t="n">
        <v>45736</v>
      </c>
      <c r="C188" s="1" t="n">
        <v>46200</v>
      </c>
      <c r="D188" t="inlineStr">
        <is>
          <t>KALMAR LÄN</t>
        </is>
      </c>
      <c r="E188" t="inlineStr">
        <is>
          <t>HULTSFRED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22401-2023</t>
        </is>
      </c>
      <c r="B189" s="1" t="n">
        <v>45070</v>
      </c>
      <c r="C189" s="1" t="n">
        <v>46200</v>
      </c>
      <c r="D189" t="inlineStr">
        <is>
          <t>KALMAR LÄN</t>
        </is>
      </c>
      <c r="E189" t="inlineStr">
        <is>
          <t>HULTSFRED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11005-2025</t>
        </is>
      </c>
      <c r="B190" s="1" t="n">
        <v>45723</v>
      </c>
      <c r="C190" s="1" t="n">
        <v>46200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57707-2021</t>
        </is>
      </c>
      <c r="B191" s="1" t="n">
        <v>44484</v>
      </c>
      <c r="C191" s="1" t="n">
        <v>46200</v>
      </c>
      <c r="D191" t="inlineStr">
        <is>
          <t>KALMAR LÄN</t>
        </is>
      </c>
      <c r="E191" t="inlineStr">
        <is>
          <t>HULTSFRED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69212-2021</t>
        </is>
      </c>
      <c r="B192" s="1" t="n">
        <v>44531</v>
      </c>
      <c r="C192" s="1" t="n">
        <v>46200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34565-2022</t>
        </is>
      </c>
      <c r="B193" s="1" t="n">
        <v>44794</v>
      </c>
      <c r="C193" s="1" t="n">
        <v>46200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32345-2022</t>
        </is>
      </c>
      <c r="B194" s="1" t="n">
        <v>44781</v>
      </c>
      <c r="C194" s="1" t="n">
        <v>46200</v>
      </c>
      <c r="D194" t="inlineStr">
        <is>
          <t>KALMAR LÄN</t>
        </is>
      </c>
      <c r="E194" t="inlineStr">
        <is>
          <t>HULTSFRED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28224-2024</t>
        </is>
      </c>
      <c r="B195" s="1" t="n">
        <v>45477</v>
      </c>
      <c r="C195" s="1" t="n">
        <v>46200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13946-2023</t>
        </is>
      </c>
      <c r="B196" s="1" t="n">
        <v>45008</v>
      </c>
      <c r="C196" s="1" t="n">
        <v>46200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46200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57004-2024</t>
        </is>
      </c>
      <c r="B198" s="1" t="n">
        <v>45628</v>
      </c>
      <c r="C198" s="1" t="n">
        <v>46200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11235-2023</t>
        </is>
      </c>
      <c r="B199" s="1" t="n">
        <v>44992</v>
      </c>
      <c r="C199" s="1" t="n">
        <v>46200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36638-2024</t>
        </is>
      </c>
      <c r="B200" s="1" t="n">
        <v>45537</v>
      </c>
      <c r="C200" s="1" t="n">
        <v>46200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19050-2023</t>
        </is>
      </c>
      <c r="B201" s="1" t="n">
        <v>45047</v>
      </c>
      <c r="C201" s="1" t="n">
        <v>46200</v>
      </c>
      <c r="D201" t="inlineStr">
        <is>
          <t>KALMAR LÄN</t>
        </is>
      </c>
      <c r="E201" t="inlineStr">
        <is>
          <t>HULTSFRED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5000-2025</t>
        </is>
      </c>
      <c r="B202" s="1" t="n">
        <v>45691</v>
      </c>
      <c r="C202" s="1" t="n">
        <v>46200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8198-2022</t>
        </is>
      </c>
      <c r="B203" s="1" t="n">
        <v>44609</v>
      </c>
      <c r="C203" s="1" t="n">
        <v>46200</v>
      </c>
      <c r="D203" t="inlineStr">
        <is>
          <t>KALMAR LÄN</t>
        </is>
      </c>
      <c r="E203" t="inlineStr">
        <is>
          <t>HULTSFRED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9326-2025</t>
        </is>
      </c>
      <c r="B204" s="1" t="n">
        <v>45714</v>
      </c>
      <c r="C204" s="1" t="n">
        <v>46200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39598-2022</t>
        </is>
      </c>
      <c r="B205" s="1" t="n">
        <v>44818</v>
      </c>
      <c r="C205" s="1" t="n">
        <v>46200</v>
      </c>
      <c r="D205" t="inlineStr">
        <is>
          <t>KALMAR LÄN</t>
        </is>
      </c>
      <c r="E205" t="inlineStr">
        <is>
          <t>HULTSFRED</t>
        </is>
      </c>
      <c r="F205" t="inlineStr">
        <is>
          <t>Övriga Aktiebolag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19047-2023</t>
        </is>
      </c>
      <c r="B206" s="1" t="n">
        <v>45047</v>
      </c>
      <c r="C206" s="1" t="n">
        <v>46200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68818-2021</t>
        </is>
      </c>
      <c r="B207" s="1" t="n">
        <v>44530</v>
      </c>
      <c r="C207" s="1" t="n">
        <v>46200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68824-2021</t>
        </is>
      </c>
      <c r="B208" s="1" t="n">
        <v>44530</v>
      </c>
      <c r="C208" s="1" t="n">
        <v>46200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51243-2022</t>
        </is>
      </c>
      <c r="B209" s="1" t="n">
        <v>44868</v>
      </c>
      <c r="C209" s="1" t="n">
        <v>46200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</v>
      </c>
      <c r="C210" s="1" t="n">
        <v>46200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9891-2024</t>
        </is>
      </c>
      <c r="B211" s="1" t="n">
        <v>45363</v>
      </c>
      <c r="C211" s="1" t="n">
        <v>46200</v>
      </c>
      <c r="D211" t="inlineStr">
        <is>
          <t>KALMAR LÄN</t>
        </is>
      </c>
      <c r="E211" t="inlineStr">
        <is>
          <t>HULTSFRED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42747-2024</t>
        </is>
      </c>
      <c r="B212" s="1" t="n">
        <v>45566</v>
      </c>
      <c r="C212" s="1" t="n">
        <v>46200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42749-2024</t>
        </is>
      </c>
      <c r="B213" s="1" t="n">
        <v>45566</v>
      </c>
      <c r="C213" s="1" t="n">
        <v>46200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5989-2025</t>
        </is>
      </c>
      <c r="B214" s="1" t="n">
        <v>45695</v>
      </c>
      <c r="C214" s="1" t="n">
        <v>46200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5996-2025</t>
        </is>
      </c>
      <c r="B215" s="1" t="n">
        <v>45695</v>
      </c>
      <c r="C215" s="1" t="n">
        <v>46200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28666-2023</t>
        </is>
      </c>
      <c r="B216" s="1" t="n">
        <v>45103</v>
      </c>
      <c r="C216" s="1" t="n">
        <v>46200</v>
      </c>
      <c r="D216" t="inlineStr">
        <is>
          <t>KALMAR LÄN</t>
        </is>
      </c>
      <c r="E216" t="inlineStr">
        <is>
          <t>HULTSFRED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16877-2025</t>
        </is>
      </c>
      <c r="B217" s="1" t="n">
        <v>45755</v>
      </c>
      <c r="C217" s="1" t="n">
        <v>46200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4972-2023</t>
        </is>
      </c>
      <c r="B218" s="1" t="n">
        <v>44958</v>
      </c>
      <c r="C218" s="1" t="n">
        <v>46200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50341-2023</t>
        </is>
      </c>
      <c r="B219" s="1" t="n">
        <v>45216</v>
      </c>
      <c r="C219" s="1" t="n">
        <v>46200</v>
      </c>
      <c r="D219" t="inlineStr">
        <is>
          <t>KALMAR LÄN</t>
        </is>
      </c>
      <c r="E219" t="inlineStr">
        <is>
          <t>HULTSFRED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58476-2024</t>
        </is>
      </c>
      <c r="B220" s="1" t="n">
        <v>45635</v>
      </c>
      <c r="C220" s="1" t="n">
        <v>46200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46341-2023</t>
        </is>
      </c>
      <c r="B221" s="1" t="n">
        <v>45197</v>
      </c>
      <c r="C221" s="1" t="n">
        <v>46200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14094-2022</t>
        </is>
      </c>
      <c r="B222" s="1" t="n">
        <v>44651</v>
      </c>
      <c r="C222" s="1" t="n">
        <v>46200</v>
      </c>
      <c r="D222" t="inlineStr">
        <is>
          <t>KALMAR LÄN</t>
        </is>
      </c>
      <c r="E222" t="inlineStr">
        <is>
          <t>HULTSFRED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8332-2024</t>
        </is>
      </c>
      <c r="B223" s="1" t="n">
        <v>45352</v>
      </c>
      <c r="C223" s="1" t="n">
        <v>46200</v>
      </c>
      <c r="D223" t="inlineStr">
        <is>
          <t>KALMAR LÄN</t>
        </is>
      </c>
      <c r="E223" t="inlineStr">
        <is>
          <t>HULTSFRED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68088-2021</t>
        </is>
      </c>
      <c r="B224" s="1" t="n">
        <v>44526</v>
      </c>
      <c r="C224" s="1" t="n">
        <v>46200</v>
      </c>
      <c r="D224" t="inlineStr">
        <is>
          <t>KALMAR LÄN</t>
        </is>
      </c>
      <c r="E224" t="inlineStr">
        <is>
          <t>HULTSFRED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33235-2023</t>
        </is>
      </c>
      <c r="B225" s="1" t="n">
        <v>45127</v>
      </c>
      <c r="C225" s="1" t="n">
        <v>46200</v>
      </c>
      <c r="D225" t="inlineStr">
        <is>
          <t>KALMAR LÄN</t>
        </is>
      </c>
      <c r="E225" t="inlineStr">
        <is>
          <t>HULTSFRED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13974-2023</t>
        </is>
      </c>
      <c r="B226" s="1" t="n">
        <v>45008</v>
      </c>
      <c r="C226" s="1" t="n">
        <v>46200</v>
      </c>
      <c r="D226" t="inlineStr">
        <is>
          <t>KALMAR LÄN</t>
        </is>
      </c>
      <c r="E226" t="inlineStr">
        <is>
          <t>HULTSFRED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15875-2025</t>
        </is>
      </c>
      <c r="B227" s="1" t="n">
        <v>45749</v>
      </c>
      <c r="C227" s="1" t="n">
        <v>46200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24148-2023</t>
        </is>
      </c>
      <c r="B228" s="1" t="n">
        <v>45079</v>
      </c>
      <c r="C228" s="1" t="n">
        <v>46200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52886-2024</t>
        </is>
      </c>
      <c r="B229" s="1" t="n">
        <v>45610</v>
      </c>
      <c r="C229" s="1" t="n">
        <v>46200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29973-2024</t>
        </is>
      </c>
      <c r="B230" s="1" t="n">
        <v>45488</v>
      </c>
      <c r="C230" s="1" t="n">
        <v>46200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14839-2025</t>
        </is>
      </c>
      <c r="B231" s="1" t="n">
        <v>45743</v>
      </c>
      <c r="C231" s="1" t="n">
        <v>46200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26909-2022</t>
        </is>
      </c>
      <c r="B232" s="1" t="n">
        <v>44740</v>
      </c>
      <c r="C232" s="1" t="n">
        <v>46200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52880-2024</t>
        </is>
      </c>
      <c r="B233" s="1" t="n">
        <v>45610</v>
      </c>
      <c r="C233" s="1" t="n">
        <v>46200</v>
      </c>
      <c r="D233" t="inlineStr">
        <is>
          <t>KALMAR LÄN</t>
        </is>
      </c>
      <c r="E233" t="inlineStr">
        <is>
          <t>HULTSFRED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45236-2021</t>
        </is>
      </c>
      <c r="B234" s="1" t="n">
        <v>44439</v>
      </c>
      <c r="C234" s="1" t="n">
        <v>46200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5578-2023</t>
        </is>
      </c>
      <c r="B235" s="1" t="n">
        <v>44960</v>
      </c>
      <c r="C235" s="1" t="n">
        <v>46200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12331-2025</t>
        </is>
      </c>
      <c r="B236" s="1" t="n">
        <v>45730</v>
      </c>
      <c r="C236" s="1" t="n">
        <v>46200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11007-2025</t>
        </is>
      </c>
      <c r="B237" s="1" t="n">
        <v>45723</v>
      </c>
      <c r="C237" s="1" t="n">
        <v>46200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8807-2024</t>
        </is>
      </c>
      <c r="B238" s="1" t="n">
        <v>45355</v>
      </c>
      <c r="C238" s="1" t="n">
        <v>46200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11232-2023</t>
        </is>
      </c>
      <c r="B239" s="1" t="n">
        <v>44992</v>
      </c>
      <c r="C239" s="1" t="n">
        <v>46200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28878-2022</t>
        </is>
      </c>
      <c r="B240" s="1" t="n">
        <v>44749</v>
      </c>
      <c r="C240" s="1" t="n">
        <v>46200</v>
      </c>
      <c r="D240" t="inlineStr">
        <is>
          <t>KALMAR LÄN</t>
        </is>
      </c>
      <c r="E240" t="inlineStr">
        <is>
          <t>HULTSFRED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41277-2022</t>
        </is>
      </c>
      <c r="B241" s="1" t="n">
        <v>44826</v>
      </c>
      <c r="C241" s="1" t="n">
        <v>46200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5755-2023</t>
        </is>
      </c>
      <c r="B242" s="1" t="n">
        <v>44963</v>
      </c>
      <c r="C242" s="1" t="n">
        <v>46200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42434-2023</t>
        </is>
      </c>
      <c r="B243" s="1" t="n">
        <v>45180</v>
      </c>
      <c r="C243" s="1" t="n">
        <v>46200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55674-2023</t>
        </is>
      </c>
      <c r="B244" s="1" t="n">
        <v>45239</v>
      </c>
      <c r="C244" s="1" t="n">
        <v>46200</v>
      </c>
      <c r="D244" t="inlineStr">
        <is>
          <t>KALMAR LÄN</t>
        </is>
      </c>
      <c r="E244" t="inlineStr">
        <is>
          <t>HULTSFRED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13864-2024</t>
        </is>
      </c>
      <c r="B245" s="1" t="n">
        <v>45390</v>
      </c>
      <c r="C245" s="1" t="n">
        <v>46200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40792-2022</t>
        </is>
      </c>
      <c r="B246" s="1" t="n">
        <v>44824</v>
      </c>
      <c r="C246" s="1" t="n">
        <v>46200</v>
      </c>
      <c r="D246" t="inlineStr">
        <is>
          <t>KALMAR LÄN</t>
        </is>
      </c>
      <c r="E246" t="inlineStr">
        <is>
          <t>HULTSFRED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60525-2021</t>
        </is>
      </c>
      <c r="B247" s="1" t="n">
        <v>44496</v>
      </c>
      <c r="C247" s="1" t="n">
        <v>46200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28216-2024</t>
        </is>
      </c>
      <c r="B248" s="1" t="n">
        <v>45477</v>
      </c>
      <c r="C248" s="1" t="n">
        <v>46200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28979-2024</t>
        </is>
      </c>
      <c r="B249" s="1" t="n">
        <v>45481</v>
      </c>
      <c r="C249" s="1" t="n">
        <v>46200</v>
      </c>
      <c r="D249" t="inlineStr">
        <is>
          <t>KALMAR LÄN</t>
        </is>
      </c>
      <c r="E249" t="inlineStr">
        <is>
          <t>HULTSFRED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4223-2025</t>
        </is>
      </c>
      <c r="B250" s="1" t="n">
        <v>45685</v>
      </c>
      <c r="C250" s="1" t="n">
        <v>46200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9589-2024</t>
        </is>
      </c>
      <c r="B251" s="1" t="n">
        <v>45360</v>
      </c>
      <c r="C251" s="1" t="n">
        <v>46200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42770-2024</t>
        </is>
      </c>
      <c r="B252" s="1" t="n">
        <v>45566</v>
      </c>
      <c r="C252" s="1" t="n">
        <v>46200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54712-2021</t>
        </is>
      </c>
      <c r="B253" s="1" t="n">
        <v>44473</v>
      </c>
      <c r="C253" s="1" t="n">
        <v>46200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5801-2024</t>
        </is>
      </c>
      <c r="B254" s="1" t="n">
        <v>45335</v>
      </c>
      <c r="C254" s="1" t="n">
        <v>46200</v>
      </c>
      <c r="D254" t="inlineStr">
        <is>
          <t>KALMAR LÄN</t>
        </is>
      </c>
      <c r="E254" t="inlineStr">
        <is>
          <t>HULTSFRED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70600-2021</t>
        </is>
      </c>
      <c r="B255" s="1" t="n">
        <v>44537</v>
      </c>
      <c r="C255" s="1" t="n">
        <v>46200</v>
      </c>
      <c r="D255" t="inlineStr">
        <is>
          <t>KALMAR LÄN</t>
        </is>
      </c>
      <c r="E255" t="inlineStr">
        <is>
          <t>HULTSFRED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43284-2022</t>
        </is>
      </c>
      <c r="B256" s="1" t="n">
        <v>44834</v>
      </c>
      <c r="C256" s="1" t="n">
        <v>46200</v>
      </c>
      <c r="D256" t="inlineStr">
        <is>
          <t>KALMAR LÄN</t>
        </is>
      </c>
      <c r="E256" t="inlineStr">
        <is>
          <t>HULTSFRED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21758-2024</t>
        </is>
      </c>
      <c r="B257" s="1" t="n">
        <v>45442</v>
      </c>
      <c r="C257" s="1" t="n">
        <v>46200</v>
      </c>
      <c r="D257" t="inlineStr">
        <is>
          <t>KALMAR LÄN</t>
        </is>
      </c>
      <c r="E257" t="inlineStr">
        <is>
          <t>HULTSFRED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57479-2022</t>
        </is>
      </c>
      <c r="B258" s="1" t="n">
        <v>44896</v>
      </c>
      <c r="C258" s="1" t="n">
        <v>46200</v>
      </c>
      <c r="D258" t="inlineStr">
        <is>
          <t>KALMAR LÄN</t>
        </is>
      </c>
      <c r="E258" t="inlineStr">
        <is>
          <t>HULTSFRED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50269-2023</t>
        </is>
      </c>
      <c r="B259" s="1" t="n">
        <v>45209</v>
      </c>
      <c r="C259" s="1" t="n">
        <v>46200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46476-2024</t>
        </is>
      </c>
      <c r="B260" s="1" t="n">
        <v>45582</v>
      </c>
      <c r="C260" s="1" t="n">
        <v>46200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15780-2025</t>
        </is>
      </c>
      <c r="B261" s="1" t="n">
        <v>45748</v>
      </c>
      <c r="C261" s="1" t="n">
        <v>46200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50894-2023</t>
        </is>
      </c>
      <c r="B262" s="1" t="n">
        <v>45218</v>
      </c>
      <c r="C262" s="1" t="n">
        <v>46200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14411-2025</t>
        </is>
      </c>
      <c r="B263" s="1" t="n">
        <v>45741</v>
      </c>
      <c r="C263" s="1" t="n">
        <v>46200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36092-2023</t>
        </is>
      </c>
      <c r="B264" s="1" t="n">
        <v>45149</v>
      </c>
      <c r="C264" s="1" t="n">
        <v>46200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36187-2023</t>
        </is>
      </c>
      <c r="B265" s="1" t="n">
        <v>45149</v>
      </c>
      <c r="C265" s="1" t="n">
        <v>46200</v>
      </c>
      <c r="D265" t="inlineStr">
        <is>
          <t>KALMAR LÄN</t>
        </is>
      </c>
      <c r="E265" t="inlineStr">
        <is>
          <t>HULTSFRED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44257-2024</t>
        </is>
      </c>
      <c r="B266" s="1" t="n">
        <v>45573</v>
      </c>
      <c r="C266" s="1" t="n">
        <v>46200</v>
      </c>
      <c r="D266" t="inlineStr">
        <is>
          <t>KALMAR LÄN</t>
        </is>
      </c>
      <c r="E266" t="inlineStr">
        <is>
          <t>HULTSFRED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11433-2024</t>
        </is>
      </c>
      <c r="B267" s="1" t="n">
        <v>45372</v>
      </c>
      <c r="C267" s="1" t="n">
        <v>46200</v>
      </c>
      <c r="D267" t="inlineStr">
        <is>
          <t>KALMAR LÄN</t>
        </is>
      </c>
      <c r="E267" t="inlineStr">
        <is>
          <t>HULTSFRED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20036-2023</t>
        </is>
      </c>
      <c r="B268" s="1" t="n">
        <v>45054</v>
      </c>
      <c r="C268" s="1" t="n">
        <v>46200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18321-2023</t>
        </is>
      </c>
      <c r="B269" s="1" t="n">
        <v>45041</v>
      </c>
      <c r="C269" s="1" t="n">
        <v>46200</v>
      </c>
      <c r="D269" t="inlineStr">
        <is>
          <t>KALMAR LÄN</t>
        </is>
      </c>
      <c r="E269" t="inlineStr">
        <is>
          <t>HULTSFRED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25020-2023</t>
        </is>
      </c>
      <c r="B270" s="1" t="n">
        <v>45085</v>
      </c>
      <c r="C270" s="1" t="n">
        <v>46200</v>
      </c>
      <c r="D270" t="inlineStr">
        <is>
          <t>KALMAR LÄN</t>
        </is>
      </c>
      <c r="E270" t="inlineStr">
        <is>
          <t>HULTSFRED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42460-2023</t>
        </is>
      </c>
      <c r="B271" s="1" t="n">
        <v>45175</v>
      </c>
      <c r="C271" s="1" t="n">
        <v>46200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2267-2024</t>
        </is>
      </c>
      <c r="B272" s="1" t="n">
        <v>45310</v>
      </c>
      <c r="C272" s="1" t="n">
        <v>46200</v>
      </c>
      <c r="D272" t="inlineStr">
        <is>
          <t>KALMAR LÄN</t>
        </is>
      </c>
      <c r="E272" t="inlineStr">
        <is>
          <t>HULTSFRED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72860-2021</t>
        </is>
      </c>
      <c r="B273" s="1" t="n">
        <v>44547</v>
      </c>
      <c r="C273" s="1" t="n">
        <v>46200</v>
      </c>
      <c r="D273" t="inlineStr">
        <is>
          <t>KALMAR LÄN</t>
        </is>
      </c>
      <c r="E273" t="inlineStr">
        <is>
          <t>HULTSFRED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37994-2023</t>
        </is>
      </c>
      <c r="B274" s="1" t="n">
        <v>45160</v>
      </c>
      <c r="C274" s="1" t="n">
        <v>46200</v>
      </c>
      <c r="D274" t="inlineStr">
        <is>
          <t>KALMAR LÄN</t>
        </is>
      </c>
      <c r="E274" t="inlineStr">
        <is>
          <t>HULTSFRED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2507-2023</t>
        </is>
      </c>
      <c r="B275" s="1" t="n">
        <v>44939</v>
      </c>
      <c r="C275" s="1" t="n">
        <v>46200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45658-2023</t>
        </is>
      </c>
      <c r="B276" s="1" t="n">
        <v>45194</v>
      </c>
      <c r="C276" s="1" t="n">
        <v>46200</v>
      </c>
      <c r="D276" t="inlineStr">
        <is>
          <t>KALMAR LÄN</t>
        </is>
      </c>
      <c r="E276" t="inlineStr">
        <is>
          <t>HULTSFRED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32646-2023</t>
        </is>
      </c>
      <c r="B277" s="1" t="n">
        <v>45121</v>
      </c>
      <c r="C277" s="1" t="n">
        <v>46200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45047-2023</t>
        </is>
      </c>
      <c r="B278" s="1" t="n">
        <v>45191</v>
      </c>
      <c r="C278" s="1" t="n">
        <v>46200</v>
      </c>
      <c r="D278" t="inlineStr">
        <is>
          <t>KALMAR LÄN</t>
        </is>
      </c>
      <c r="E278" t="inlineStr">
        <is>
          <t>HULTSFRED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44196-2023</t>
        </is>
      </c>
      <c r="B279" s="1" t="n">
        <v>45188</v>
      </c>
      <c r="C279" s="1" t="n">
        <v>46200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36395-2023</t>
        </is>
      </c>
      <c r="B280" s="1" t="n">
        <v>45152</v>
      </c>
      <c r="C280" s="1" t="n">
        <v>46200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39944-2023</t>
        </is>
      </c>
      <c r="B281" s="1" t="n">
        <v>45168</v>
      </c>
      <c r="C281" s="1" t="n">
        <v>46200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11645-2023</t>
        </is>
      </c>
      <c r="B282" s="1" t="n">
        <v>44994</v>
      </c>
      <c r="C282" s="1" t="n">
        <v>46200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43632-2023</t>
        </is>
      </c>
      <c r="B283" s="1" t="n">
        <v>45185</v>
      </c>
      <c r="C283" s="1" t="n">
        <v>46200</v>
      </c>
      <c r="D283" t="inlineStr">
        <is>
          <t>KALMAR LÄN</t>
        </is>
      </c>
      <c r="E283" t="inlineStr">
        <is>
          <t>HULTSFRED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55396-2022</t>
        </is>
      </c>
      <c r="B284" s="1" t="n">
        <v>44882</v>
      </c>
      <c r="C284" s="1" t="n">
        <v>46200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6510-2024</t>
        </is>
      </c>
      <c r="B285" s="1" t="n">
        <v>45340</v>
      </c>
      <c r="C285" s="1" t="n">
        <v>46200</v>
      </c>
      <c r="D285" t="inlineStr">
        <is>
          <t>KALMAR LÄN</t>
        </is>
      </c>
      <c r="E285" t="inlineStr">
        <is>
          <t>HULTSFRED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46415-2023</t>
        </is>
      </c>
      <c r="B286" s="1" t="n">
        <v>45194</v>
      </c>
      <c r="C286" s="1" t="n">
        <v>46200</v>
      </c>
      <c r="D286" t="inlineStr">
        <is>
          <t>KALMAR LÄN</t>
        </is>
      </c>
      <c r="E286" t="inlineStr">
        <is>
          <t>HULTSFRED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15236-2023</t>
        </is>
      </c>
      <c r="B287" s="1" t="n">
        <v>45019</v>
      </c>
      <c r="C287" s="1" t="n">
        <v>46200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46465-2023</t>
        </is>
      </c>
      <c r="B288" s="1" t="n">
        <v>45197</v>
      </c>
      <c r="C288" s="1" t="n">
        <v>46200</v>
      </c>
      <c r="D288" t="inlineStr">
        <is>
          <t>KALMAR LÄN</t>
        </is>
      </c>
      <c r="E288" t="inlineStr">
        <is>
          <t>HULTSFRED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19479-2023</t>
        </is>
      </c>
      <c r="B289" s="1" t="n">
        <v>45050</v>
      </c>
      <c r="C289" s="1" t="n">
        <v>46200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1770-2024</t>
        </is>
      </c>
      <c r="B290" s="1" t="n">
        <v>45307</v>
      </c>
      <c r="C290" s="1" t="n">
        <v>46200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39845-2022</t>
        </is>
      </c>
      <c r="B291" s="1" t="n">
        <v>44819</v>
      </c>
      <c r="C291" s="1" t="n">
        <v>46200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58868-2023</t>
        </is>
      </c>
      <c r="B292" s="1" t="n">
        <v>45252</v>
      </c>
      <c r="C292" s="1" t="n">
        <v>46200</v>
      </c>
      <c r="D292" t="inlineStr">
        <is>
          <t>KALMAR LÄN</t>
        </is>
      </c>
      <c r="E292" t="inlineStr">
        <is>
          <t>HULTSFRED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16541-2024</t>
        </is>
      </c>
      <c r="B293" s="1" t="n">
        <v>45408</v>
      </c>
      <c r="C293" s="1" t="n">
        <v>46200</v>
      </c>
      <c r="D293" t="inlineStr">
        <is>
          <t>KALMAR LÄN</t>
        </is>
      </c>
      <c r="E293" t="inlineStr">
        <is>
          <t>HULTSFRED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48956-2024</t>
        </is>
      </c>
      <c r="B294" s="1" t="n">
        <v>45594</v>
      </c>
      <c r="C294" s="1" t="n">
        <v>46200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10966-2023</t>
        </is>
      </c>
      <c r="B295" s="1" t="n">
        <v>44991</v>
      </c>
      <c r="C295" s="1" t="n">
        <v>46200</v>
      </c>
      <c r="D295" t="inlineStr">
        <is>
          <t>KALMAR LÄN</t>
        </is>
      </c>
      <c r="E295" t="inlineStr">
        <is>
          <t>HULTSFRED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40006-2023</t>
        </is>
      </c>
      <c r="B296" s="1" t="n">
        <v>45168</v>
      </c>
      <c r="C296" s="1" t="n">
        <v>46200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59548-2024</t>
        </is>
      </c>
      <c r="B297" s="1" t="n">
        <v>45637</v>
      </c>
      <c r="C297" s="1" t="n">
        <v>46200</v>
      </c>
      <c r="D297" t="inlineStr">
        <is>
          <t>KALMAR LÄN</t>
        </is>
      </c>
      <c r="E297" t="inlineStr">
        <is>
          <t>HULTSFRED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18055-2024</t>
        </is>
      </c>
      <c r="B298" s="1" t="n">
        <v>45420</v>
      </c>
      <c r="C298" s="1" t="n">
        <v>46200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7336-2025</t>
        </is>
      </c>
      <c r="B299" s="1" t="n">
        <v>45703</v>
      </c>
      <c r="C299" s="1" t="n">
        <v>46200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7531-2024</t>
        </is>
      </c>
      <c r="B300" s="1" t="n">
        <v>45348</v>
      </c>
      <c r="C300" s="1" t="n">
        <v>46200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52897-2024</t>
        </is>
      </c>
      <c r="B301" s="1" t="n">
        <v>45610</v>
      </c>
      <c r="C301" s="1" t="n">
        <v>46200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24257-2022</t>
        </is>
      </c>
      <c r="B302" s="1" t="n">
        <v>44725</v>
      </c>
      <c r="C302" s="1" t="n">
        <v>46200</v>
      </c>
      <c r="D302" t="inlineStr">
        <is>
          <t>KALMAR LÄN</t>
        </is>
      </c>
      <c r="E302" t="inlineStr">
        <is>
          <t>HULTSFRED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44256-2024</t>
        </is>
      </c>
      <c r="B303" s="1" t="n">
        <v>45573</v>
      </c>
      <c r="C303" s="1" t="n">
        <v>46200</v>
      </c>
      <c r="D303" t="inlineStr">
        <is>
          <t>KALMAR LÄN</t>
        </is>
      </c>
      <c r="E303" t="inlineStr">
        <is>
          <t>HULTSFRED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40326-2023</t>
        </is>
      </c>
      <c r="B304" s="1" t="n">
        <v>45169</v>
      </c>
      <c r="C304" s="1" t="n">
        <v>46200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34038-2023</t>
        </is>
      </c>
      <c r="B305" s="1" t="n">
        <v>45135</v>
      </c>
      <c r="C305" s="1" t="n">
        <v>46200</v>
      </c>
      <c r="D305" t="inlineStr">
        <is>
          <t>KALMAR LÄN</t>
        </is>
      </c>
      <c r="E305" t="inlineStr">
        <is>
          <t>HULTSFRED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15437-2023</t>
        </is>
      </c>
      <c r="B306" s="1" t="n">
        <v>45016</v>
      </c>
      <c r="C306" s="1" t="n">
        <v>46200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62635-2023</t>
        </is>
      </c>
      <c r="B307" s="1" t="n">
        <v>45271</v>
      </c>
      <c r="C307" s="1" t="n">
        <v>46200</v>
      </c>
      <c r="D307" t="inlineStr">
        <is>
          <t>KALMAR LÄN</t>
        </is>
      </c>
      <c r="E307" t="inlineStr">
        <is>
          <t>HULTSFRED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61211-2021</t>
        </is>
      </c>
      <c r="B308" s="1" t="n">
        <v>44498</v>
      </c>
      <c r="C308" s="1" t="n">
        <v>46200</v>
      </c>
      <c r="D308" t="inlineStr">
        <is>
          <t>KALMAR LÄN</t>
        </is>
      </c>
      <c r="E308" t="inlineStr">
        <is>
          <t>HULTSFRED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45660-2023</t>
        </is>
      </c>
      <c r="B309" s="1" t="n">
        <v>45194</v>
      </c>
      <c r="C309" s="1" t="n">
        <v>46200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23147-2022</t>
        </is>
      </c>
      <c r="B310" s="1" t="n">
        <v>44719</v>
      </c>
      <c r="C310" s="1" t="n">
        <v>46200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58825-2022</t>
        </is>
      </c>
      <c r="B311" s="1" t="n">
        <v>44903</v>
      </c>
      <c r="C311" s="1" t="n">
        <v>46200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55030-2023</t>
        </is>
      </c>
      <c r="B312" s="1" t="n">
        <v>45237</v>
      </c>
      <c r="C312" s="1" t="n">
        <v>46200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43560-2023</t>
        </is>
      </c>
      <c r="B313" s="1" t="n">
        <v>45184</v>
      </c>
      <c r="C313" s="1" t="n">
        <v>46200</v>
      </c>
      <c r="D313" t="inlineStr">
        <is>
          <t>KALMAR LÄN</t>
        </is>
      </c>
      <c r="E313" t="inlineStr">
        <is>
          <t>HULTSFRED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10904-2024</t>
        </is>
      </c>
      <c r="B314" s="1" t="n">
        <v>45370</v>
      </c>
      <c r="C314" s="1" t="n">
        <v>46200</v>
      </c>
      <c r="D314" t="inlineStr">
        <is>
          <t>KALMAR LÄN</t>
        </is>
      </c>
      <c r="E314" t="inlineStr">
        <is>
          <t>HULTSFRED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15018-2024</t>
        </is>
      </c>
      <c r="B315" s="1" t="n">
        <v>45399</v>
      </c>
      <c r="C315" s="1" t="n">
        <v>46200</v>
      </c>
      <c r="D315" t="inlineStr">
        <is>
          <t>KALMAR LÄN</t>
        </is>
      </c>
      <c r="E315" t="inlineStr">
        <is>
          <t>HULTSFRED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4835-2022</t>
        </is>
      </c>
      <c r="B316" s="1" t="n">
        <v>44592</v>
      </c>
      <c r="C316" s="1" t="n">
        <v>46200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12339-2025</t>
        </is>
      </c>
      <c r="B317" s="1" t="n">
        <v>45730</v>
      </c>
      <c r="C317" s="1" t="n">
        <v>46200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42498-2022</t>
        </is>
      </c>
      <c r="B318" s="1" t="n">
        <v>44831</v>
      </c>
      <c r="C318" s="1" t="n">
        <v>46200</v>
      </c>
      <c r="D318" t="inlineStr">
        <is>
          <t>KALMAR LÄN</t>
        </is>
      </c>
      <c r="E318" t="inlineStr">
        <is>
          <t>HULTSFRED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9387-2023</t>
        </is>
      </c>
      <c r="B319" s="1" t="n">
        <v>44981</v>
      </c>
      <c r="C319" s="1" t="n">
        <v>46200</v>
      </c>
      <c r="D319" t="inlineStr">
        <is>
          <t>KALMAR LÄN</t>
        </is>
      </c>
      <c r="E319" t="inlineStr">
        <is>
          <t>HULTSFRED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58862-2023</t>
        </is>
      </c>
      <c r="B320" s="1" t="n">
        <v>45247</v>
      </c>
      <c r="C320" s="1" t="n">
        <v>46200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3337-2023</t>
        </is>
      </c>
      <c r="B321" s="1" t="n">
        <v>44949</v>
      </c>
      <c r="C321" s="1" t="n">
        <v>46200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66722-2021</t>
        </is>
      </c>
      <c r="B322" s="1" t="n">
        <v>44519</v>
      </c>
      <c r="C322" s="1" t="n">
        <v>46200</v>
      </c>
      <c r="D322" t="inlineStr">
        <is>
          <t>KALMAR LÄN</t>
        </is>
      </c>
      <c r="E322" t="inlineStr">
        <is>
          <t>HULTSFRED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5794-2024</t>
        </is>
      </c>
      <c r="B323" s="1" t="n">
        <v>45335</v>
      </c>
      <c r="C323" s="1" t="n">
        <v>46200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54369-2021</t>
        </is>
      </c>
      <c r="B324" s="1" t="n">
        <v>44473</v>
      </c>
      <c r="C324" s="1" t="n">
        <v>46200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25582-2022</t>
        </is>
      </c>
      <c r="B325" s="1" t="n">
        <v>44732</v>
      </c>
      <c r="C325" s="1" t="n">
        <v>46200</v>
      </c>
      <c r="D325" t="inlineStr">
        <is>
          <t>KALMAR LÄN</t>
        </is>
      </c>
      <c r="E325" t="inlineStr">
        <is>
          <t>HULTSFRED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19679-2024</t>
        </is>
      </c>
      <c r="B326" s="1" t="n">
        <v>45432</v>
      </c>
      <c r="C326" s="1" t="n">
        <v>46200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11883-2024</t>
        </is>
      </c>
      <c r="B327" s="1" t="n">
        <v>45376</v>
      </c>
      <c r="C327" s="1" t="n">
        <v>46200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5993-2025</t>
        </is>
      </c>
      <c r="B328" s="1" t="n">
        <v>45695</v>
      </c>
      <c r="C328" s="1" t="n">
        <v>46200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12394-2023</t>
        </is>
      </c>
      <c r="B329" s="1" t="n">
        <v>44999</v>
      </c>
      <c r="C329" s="1" t="n">
        <v>46200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60361-2023</t>
        </is>
      </c>
      <c r="B330" s="1" t="n">
        <v>45259</v>
      </c>
      <c r="C330" s="1" t="n">
        <v>46200</v>
      </c>
      <c r="D330" t="inlineStr">
        <is>
          <t>KALMAR LÄN</t>
        </is>
      </c>
      <c r="E330" t="inlineStr">
        <is>
          <t>HULTSFRED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1033-2023</t>
        </is>
      </c>
      <c r="B331" s="1" t="n">
        <v>44935</v>
      </c>
      <c r="C331" s="1" t="n">
        <v>46200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2776-2025</t>
        </is>
      </c>
      <c r="B332" s="1" t="n">
        <v>45677</v>
      </c>
      <c r="C332" s="1" t="n">
        <v>46200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28644-2023</t>
        </is>
      </c>
      <c r="B333" s="1" t="n">
        <v>45103</v>
      </c>
      <c r="C333" s="1" t="n">
        <v>46200</v>
      </c>
      <c r="D333" t="inlineStr">
        <is>
          <t>KALMAR LÄN</t>
        </is>
      </c>
      <c r="E333" t="inlineStr">
        <is>
          <t>HULTSFRED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46457-2023</t>
        </is>
      </c>
      <c r="B334" s="1" t="n">
        <v>45197</v>
      </c>
      <c r="C334" s="1" t="n">
        <v>46200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62361-2021</t>
        </is>
      </c>
      <c r="B335" s="1" t="n">
        <v>44502</v>
      </c>
      <c r="C335" s="1" t="n">
        <v>46200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32118-2024</t>
        </is>
      </c>
      <c r="B336" s="1" t="n">
        <v>45511</v>
      </c>
      <c r="C336" s="1" t="n">
        <v>46200</v>
      </c>
      <c r="D336" t="inlineStr">
        <is>
          <t>KALMAR LÄN</t>
        </is>
      </c>
      <c r="E336" t="inlineStr">
        <is>
          <t>HULTSFRED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6513-2024</t>
        </is>
      </c>
      <c r="B337" s="1" t="n">
        <v>45340</v>
      </c>
      <c r="C337" s="1" t="n">
        <v>46200</v>
      </c>
      <c r="D337" t="inlineStr">
        <is>
          <t>KALMAR LÄN</t>
        </is>
      </c>
      <c r="E337" t="inlineStr">
        <is>
          <t>HULTSFRED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6514-2024</t>
        </is>
      </c>
      <c r="B338" s="1" t="n">
        <v>45340</v>
      </c>
      <c r="C338" s="1" t="n">
        <v>46200</v>
      </c>
      <c r="D338" t="inlineStr">
        <is>
          <t>KALMAR LÄN</t>
        </is>
      </c>
      <c r="E338" t="inlineStr">
        <is>
          <t>HULTSFRED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9369-2024</t>
        </is>
      </c>
      <c r="B339" s="1" t="n">
        <v>45359</v>
      </c>
      <c r="C339" s="1" t="n">
        <v>46200</v>
      </c>
      <c r="D339" t="inlineStr">
        <is>
          <t>KALMAR LÄN</t>
        </is>
      </c>
      <c r="E339" t="inlineStr">
        <is>
          <t>HULTSFRED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24337-2023</t>
        </is>
      </c>
      <c r="B340" s="1" t="n">
        <v>45081</v>
      </c>
      <c r="C340" s="1" t="n">
        <v>46200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3882-2023</t>
        </is>
      </c>
      <c r="B341" s="1" t="n">
        <v>44951</v>
      </c>
      <c r="C341" s="1" t="n">
        <v>46200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17330-2024</t>
        </is>
      </c>
      <c r="B342" s="1" t="n">
        <v>45414</v>
      </c>
      <c r="C342" s="1" t="n">
        <v>46200</v>
      </c>
      <c r="D342" t="inlineStr">
        <is>
          <t>KALMAR LÄN</t>
        </is>
      </c>
      <c r="E342" t="inlineStr">
        <is>
          <t>HULTSFRED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62810-2023</t>
        </is>
      </c>
      <c r="B343" s="1" t="n">
        <v>45271</v>
      </c>
      <c r="C343" s="1" t="n">
        <v>46200</v>
      </c>
      <c r="D343" t="inlineStr">
        <is>
          <t>KALMAR LÄN</t>
        </is>
      </c>
      <c r="E343" t="inlineStr">
        <is>
          <t>HULTSFRED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33441-2023</t>
        </is>
      </c>
      <c r="B344" s="1" t="n">
        <v>45129</v>
      </c>
      <c r="C344" s="1" t="n">
        <v>46200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11938-2023</t>
        </is>
      </c>
      <c r="B345" s="1" t="n">
        <v>44995</v>
      </c>
      <c r="C345" s="1" t="n">
        <v>46200</v>
      </c>
      <c r="D345" t="inlineStr">
        <is>
          <t>KALMAR LÄN</t>
        </is>
      </c>
      <c r="E345" t="inlineStr">
        <is>
          <t>HULTSFRED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6128-2023</t>
        </is>
      </c>
      <c r="B346" s="1" t="n">
        <v>44964</v>
      </c>
      <c r="C346" s="1" t="n">
        <v>46200</v>
      </c>
      <c r="D346" t="inlineStr">
        <is>
          <t>KALMAR LÄN</t>
        </is>
      </c>
      <c r="E346" t="inlineStr">
        <is>
          <t>HULTSFRED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5788-2024</t>
        </is>
      </c>
      <c r="B347" s="1" t="n">
        <v>45335</v>
      </c>
      <c r="C347" s="1" t="n">
        <v>46200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26437-2023</t>
        </is>
      </c>
      <c r="B348" s="1" t="n">
        <v>45092</v>
      </c>
      <c r="C348" s="1" t="n">
        <v>46200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13862-2024</t>
        </is>
      </c>
      <c r="B349" s="1" t="n">
        <v>45390</v>
      </c>
      <c r="C349" s="1" t="n">
        <v>46200</v>
      </c>
      <c r="D349" t="inlineStr">
        <is>
          <t>KALMAR LÄN</t>
        </is>
      </c>
      <c r="E349" t="inlineStr">
        <is>
          <t>HULTSFRED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55990-2022</t>
        </is>
      </c>
      <c r="B350" s="1" t="n">
        <v>44889</v>
      </c>
      <c r="C350" s="1" t="n">
        <v>46200</v>
      </c>
      <c r="D350" t="inlineStr">
        <is>
          <t>KALMAR LÄN</t>
        </is>
      </c>
      <c r="E350" t="inlineStr">
        <is>
          <t>HULTSFRED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40865-2022</t>
        </is>
      </c>
      <c r="B351" s="1" t="n">
        <v>44825</v>
      </c>
      <c r="C351" s="1" t="n">
        <v>46200</v>
      </c>
      <c r="D351" t="inlineStr">
        <is>
          <t>KALMAR LÄN</t>
        </is>
      </c>
      <c r="E351" t="inlineStr">
        <is>
          <t>HULTSFRED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56919-2022</t>
        </is>
      </c>
      <c r="B352" s="1" t="n">
        <v>44894</v>
      </c>
      <c r="C352" s="1" t="n">
        <v>46200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9944-2025</t>
        </is>
      </c>
      <c r="B353" s="1" t="n">
        <v>45719</v>
      </c>
      <c r="C353" s="1" t="n">
        <v>46200</v>
      </c>
      <c r="D353" t="inlineStr">
        <is>
          <t>KALMAR LÄN</t>
        </is>
      </c>
      <c r="E353" t="inlineStr">
        <is>
          <t>HULTSFRED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39977-2023</t>
        </is>
      </c>
      <c r="B354" s="1" t="n">
        <v>45168</v>
      </c>
      <c r="C354" s="1" t="n">
        <v>46200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44188-2024</t>
        </is>
      </c>
      <c r="B355" s="1" t="n">
        <v>45573</v>
      </c>
      <c r="C355" s="1" t="n">
        <v>46200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5589-2025</t>
        </is>
      </c>
      <c r="B356" s="1" t="n">
        <v>45693</v>
      </c>
      <c r="C356" s="1" t="n">
        <v>46200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16495-2023</t>
        </is>
      </c>
      <c r="B357" s="1" t="n">
        <v>45026</v>
      </c>
      <c r="C357" s="1" t="n">
        <v>46200</v>
      </c>
      <c r="D357" t="inlineStr">
        <is>
          <t>KALMAR LÄN</t>
        </is>
      </c>
      <c r="E357" t="inlineStr">
        <is>
          <t>HULTSFRED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43259-2024</t>
        </is>
      </c>
      <c r="B358" s="1" t="n">
        <v>45568</v>
      </c>
      <c r="C358" s="1" t="n">
        <v>46200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52693-2023</t>
        </is>
      </c>
      <c r="B359" s="1" t="n">
        <v>45225</v>
      </c>
      <c r="C359" s="1" t="n">
        <v>46200</v>
      </c>
      <c r="D359" t="inlineStr">
        <is>
          <t>KALMAR LÄN</t>
        </is>
      </c>
      <c r="E359" t="inlineStr">
        <is>
          <t>HULTSFRED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25878-2024</t>
        </is>
      </c>
      <c r="B360" s="1" t="n">
        <v>45467</v>
      </c>
      <c r="C360" s="1" t="n">
        <v>46200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7310-2023</t>
        </is>
      </c>
      <c r="B361" s="1" t="n">
        <v>44970</v>
      </c>
      <c r="C361" s="1" t="n">
        <v>46200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17131-2024</t>
        </is>
      </c>
      <c r="B362" s="1" t="n">
        <v>45412</v>
      </c>
      <c r="C362" s="1" t="n">
        <v>46200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19185-2023</t>
        </is>
      </c>
      <c r="B363" s="1" t="n">
        <v>45048</v>
      </c>
      <c r="C363" s="1" t="n">
        <v>46200</v>
      </c>
      <c r="D363" t="inlineStr">
        <is>
          <t>KALMAR LÄN</t>
        </is>
      </c>
      <c r="E363" t="inlineStr">
        <is>
          <t>HULTSFRED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20947-2024</t>
        </is>
      </c>
      <c r="B364" s="1" t="n">
        <v>45439</v>
      </c>
      <c r="C364" s="1" t="n">
        <v>46200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41695-2022</t>
        </is>
      </c>
      <c r="B365" s="1" t="n">
        <v>44827</v>
      </c>
      <c r="C365" s="1" t="n">
        <v>46200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58094-2023</t>
        </is>
      </c>
      <c r="B366" s="1" t="n">
        <v>45248</v>
      </c>
      <c r="C366" s="1" t="n">
        <v>46200</v>
      </c>
      <c r="D366" t="inlineStr">
        <is>
          <t>KALMAR LÄN</t>
        </is>
      </c>
      <c r="E366" t="inlineStr">
        <is>
          <t>HULTSFRED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23847-2024</t>
        </is>
      </c>
      <c r="B367" s="1" t="n">
        <v>45455</v>
      </c>
      <c r="C367" s="1" t="n">
        <v>46200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3758-2025</t>
        </is>
      </c>
      <c r="B368" s="1" t="n">
        <v>45681</v>
      </c>
      <c r="C368" s="1" t="n">
        <v>46200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41617-2022</t>
        </is>
      </c>
      <c r="B369" s="1" t="n">
        <v>44827</v>
      </c>
      <c r="C369" s="1" t="n">
        <v>46200</v>
      </c>
      <c r="D369" t="inlineStr">
        <is>
          <t>KALMAR LÄN</t>
        </is>
      </c>
      <c r="E369" t="inlineStr">
        <is>
          <t>HULTSFRED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13348-2025</t>
        </is>
      </c>
      <c r="B370" s="1" t="n">
        <v>45735</v>
      </c>
      <c r="C370" s="1" t="n">
        <v>46200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37153-2023</t>
        </is>
      </c>
      <c r="B371" s="1" t="n">
        <v>45155</v>
      </c>
      <c r="C371" s="1" t="n">
        <v>46200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19932-2023</t>
        </is>
      </c>
      <c r="B372" s="1" t="n">
        <v>45054</v>
      </c>
      <c r="C372" s="1" t="n">
        <v>46200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58383-2022</t>
        </is>
      </c>
      <c r="B373" s="1" t="n">
        <v>44901</v>
      </c>
      <c r="C373" s="1" t="n">
        <v>46200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26308-2023</t>
        </is>
      </c>
      <c r="B374" s="1" t="n">
        <v>45091</v>
      </c>
      <c r="C374" s="1" t="n">
        <v>46200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54053-2024</t>
        </is>
      </c>
      <c r="B375" s="1" t="n">
        <v>45616</v>
      </c>
      <c r="C375" s="1" t="n">
        <v>46200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9594-2025</t>
        </is>
      </c>
      <c r="B376" s="1" t="n">
        <v>45715</v>
      </c>
      <c r="C376" s="1" t="n">
        <v>46200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29569-2024</t>
        </is>
      </c>
      <c r="B377" s="1" t="n">
        <v>45484</v>
      </c>
      <c r="C377" s="1" t="n">
        <v>46200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4944-2022</t>
        </is>
      </c>
      <c r="B378" s="1" t="n">
        <v>44593</v>
      </c>
      <c r="C378" s="1" t="n">
        <v>46200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28270-2024</t>
        </is>
      </c>
      <c r="B379" s="1" t="n">
        <v>45477</v>
      </c>
      <c r="C379" s="1" t="n">
        <v>46200</v>
      </c>
      <c r="D379" t="inlineStr">
        <is>
          <t>KALMAR LÄN</t>
        </is>
      </c>
      <c r="E379" t="inlineStr">
        <is>
          <t>HULTSFRED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35305-2023</t>
        </is>
      </c>
      <c r="B380" s="1" t="n">
        <v>45146</v>
      </c>
      <c r="C380" s="1" t="n">
        <v>46200</v>
      </c>
      <c r="D380" t="inlineStr">
        <is>
          <t>KALMAR LÄN</t>
        </is>
      </c>
      <c r="E380" t="inlineStr">
        <is>
          <t>HULTSFRED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36931-2024</t>
        </is>
      </c>
      <c r="B381" s="1" t="n">
        <v>45538</v>
      </c>
      <c r="C381" s="1" t="n">
        <v>46200</v>
      </c>
      <c r="D381" t="inlineStr">
        <is>
          <t>KALMAR LÄN</t>
        </is>
      </c>
      <c r="E381" t="inlineStr">
        <is>
          <t>HULTSFRED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40330-2023</t>
        </is>
      </c>
      <c r="B382" s="1" t="n">
        <v>45169</v>
      </c>
      <c r="C382" s="1" t="n">
        <v>46200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16985-2024</t>
        </is>
      </c>
      <c r="B383" s="1" t="n">
        <v>45412</v>
      </c>
      <c r="C383" s="1" t="n">
        <v>46200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6560-2024</t>
        </is>
      </c>
      <c r="B384" s="1" t="n">
        <v>45341</v>
      </c>
      <c r="C384" s="1" t="n">
        <v>46200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43633-2023</t>
        </is>
      </c>
      <c r="B385" s="1" t="n">
        <v>45185</v>
      </c>
      <c r="C385" s="1" t="n">
        <v>46200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12306-2024</t>
        </is>
      </c>
      <c r="B386" s="1" t="n">
        <v>45378</v>
      </c>
      <c r="C386" s="1" t="n">
        <v>46200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50884-2023</t>
        </is>
      </c>
      <c r="B387" s="1" t="n">
        <v>45218</v>
      </c>
      <c r="C387" s="1" t="n">
        <v>46200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60678-2023</t>
        </is>
      </c>
      <c r="B388" s="1" t="n">
        <v>45260</v>
      </c>
      <c r="C388" s="1" t="n">
        <v>46200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53835-2024</t>
        </is>
      </c>
      <c r="B389" s="1" t="n">
        <v>45615</v>
      </c>
      <c r="C389" s="1" t="n">
        <v>46200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60681-2023</t>
        </is>
      </c>
      <c r="B390" s="1" t="n">
        <v>45260</v>
      </c>
      <c r="C390" s="1" t="n">
        <v>46200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6649-2023</t>
        </is>
      </c>
      <c r="B391" s="1" t="n">
        <v>44966</v>
      </c>
      <c r="C391" s="1" t="n">
        <v>46200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36698-2023</t>
        </is>
      </c>
      <c r="B392" s="1" t="n">
        <v>45153</v>
      </c>
      <c r="C392" s="1" t="n">
        <v>46200</v>
      </c>
      <c r="D392" t="inlineStr">
        <is>
          <t>KALMAR LÄN</t>
        </is>
      </c>
      <c r="E392" t="inlineStr">
        <is>
          <t>HULTSFRED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35721-2023</t>
        </is>
      </c>
      <c r="B393" s="1" t="n">
        <v>45147</v>
      </c>
      <c r="C393" s="1" t="n">
        <v>46200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60101-2024</t>
        </is>
      </c>
      <c r="B394" s="1" t="n">
        <v>45642</v>
      </c>
      <c r="C394" s="1" t="n">
        <v>46200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27351-2023</t>
        </is>
      </c>
      <c r="B395" s="1" t="n">
        <v>45096</v>
      </c>
      <c r="C395" s="1" t="n">
        <v>46200</v>
      </c>
      <c r="D395" t="inlineStr">
        <is>
          <t>KALMAR LÄN</t>
        </is>
      </c>
      <c r="E395" t="inlineStr">
        <is>
          <t>HULTSFRED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8337-2023</t>
        </is>
      </c>
      <c r="B396" s="1" t="n">
        <v>44975</v>
      </c>
      <c r="C396" s="1" t="n">
        <v>46200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37281-2023</t>
        </is>
      </c>
      <c r="B397" s="1" t="n">
        <v>45156</v>
      </c>
      <c r="C397" s="1" t="n">
        <v>46200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4659-2024</t>
        </is>
      </c>
      <c r="B398" s="1" t="n">
        <v>45328</v>
      </c>
      <c r="C398" s="1" t="n">
        <v>46200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61549-2022</t>
        </is>
      </c>
      <c r="B399" s="1" t="n">
        <v>44916</v>
      </c>
      <c r="C399" s="1" t="n">
        <v>46200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41187-2024</t>
        </is>
      </c>
      <c r="B400" s="1" t="n">
        <v>45559</v>
      </c>
      <c r="C400" s="1" t="n">
        <v>46200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37280-2023</t>
        </is>
      </c>
      <c r="B401" s="1" t="n">
        <v>45156</v>
      </c>
      <c r="C401" s="1" t="n">
        <v>46200</v>
      </c>
      <c r="D401" t="inlineStr">
        <is>
          <t>KALMAR LÄN</t>
        </is>
      </c>
      <c r="E401" t="inlineStr">
        <is>
          <t>HULTSFRED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39948-2023</t>
        </is>
      </c>
      <c r="B402" s="1" t="n">
        <v>45168</v>
      </c>
      <c r="C402" s="1" t="n">
        <v>46200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20969-2024</t>
        </is>
      </c>
      <c r="B403" s="1" t="n">
        <v>45439</v>
      </c>
      <c r="C403" s="1" t="n">
        <v>46200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38971-2022</t>
        </is>
      </c>
      <c r="B404" s="1" t="n">
        <v>44816</v>
      </c>
      <c r="C404" s="1" t="n">
        <v>46200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11325-2025</t>
        </is>
      </c>
      <c r="B405" s="1" t="n">
        <v>45726</v>
      </c>
      <c r="C405" s="1" t="n">
        <v>46200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11383-2025</t>
        </is>
      </c>
      <c r="B406" s="1" t="n">
        <v>45726</v>
      </c>
      <c r="C406" s="1" t="n">
        <v>46200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262-2022</t>
        </is>
      </c>
      <c r="B407" s="1" t="n">
        <v>44565</v>
      </c>
      <c r="C407" s="1" t="n">
        <v>46200</v>
      </c>
      <c r="D407" t="inlineStr">
        <is>
          <t>KALMAR LÄN</t>
        </is>
      </c>
      <c r="E407" t="inlineStr">
        <is>
          <t>HULTSFRED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8876-2025</t>
        </is>
      </c>
      <c r="B408" s="1" t="n">
        <v>45713</v>
      </c>
      <c r="C408" s="1" t="n">
        <v>46200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37169-2024</t>
        </is>
      </c>
      <c r="B409" s="1" t="n">
        <v>45539</v>
      </c>
      <c r="C409" s="1" t="n">
        <v>46200</v>
      </c>
      <c r="D409" t="inlineStr">
        <is>
          <t>KALMAR LÄN</t>
        </is>
      </c>
      <c r="E409" t="inlineStr">
        <is>
          <t>HULTSFRED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26710-2025</t>
        </is>
      </c>
      <c r="B410" s="1" t="n">
        <v>45810</v>
      </c>
      <c r="C410" s="1" t="n">
        <v>46200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51586-2024</t>
        </is>
      </c>
      <c r="B411" s="1" t="n">
        <v>45604</v>
      </c>
      <c r="C411" s="1" t="n">
        <v>46200</v>
      </c>
      <c r="D411" t="inlineStr">
        <is>
          <t>KALMAR LÄN</t>
        </is>
      </c>
      <c r="E411" t="inlineStr">
        <is>
          <t>HULTSFRED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21714-2024</t>
        </is>
      </c>
      <c r="B412" s="1" t="n">
        <v>45442</v>
      </c>
      <c r="C412" s="1" t="n">
        <v>46200</v>
      </c>
      <c r="D412" t="inlineStr">
        <is>
          <t>KALMAR LÄN</t>
        </is>
      </c>
      <c r="E412" t="inlineStr">
        <is>
          <t>HULTSFRED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17058-2024</t>
        </is>
      </c>
      <c r="B413" s="1" t="n">
        <v>45412</v>
      </c>
      <c r="C413" s="1" t="n">
        <v>46200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9325-2025</t>
        </is>
      </c>
      <c r="B414" s="1" t="n">
        <v>45714</v>
      </c>
      <c r="C414" s="1" t="n">
        <v>46200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24341-2023</t>
        </is>
      </c>
      <c r="B415" s="1" t="n">
        <v>45081</v>
      </c>
      <c r="C415" s="1" t="n">
        <v>46200</v>
      </c>
      <c r="D415" t="inlineStr">
        <is>
          <t>KALMAR LÄN</t>
        </is>
      </c>
      <c r="E415" t="inlineStr">
        <is>
          <t>HULTSFRED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26777-2025</t>
        </is>
      </c>
      <c r="B416" s="1" t="n">
        <v>45810</v>
      </c>
      <c r="C416" s="1" t="n">
        <v>46200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2212-2024</t>
        </is>
      </c>
      <c r="B417" s="1" t="n">
        <v>45309</v>
      </c>
      <c r="C417" s="1" t="n">
        <v>46200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4965-2025</t>
        </is>
      </c>
      <c r="B418" s="1" t="n">
        <v>45690</v>
      </c>
      <c r="C418" s="1" t="n">
        <v>46200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5002-2025</t>
        </is>
      </c>
      <c r="B419" s="1" t="n">
        <v>45691</v>
      </c>
      <c r="C419" s="1" t="n">
        <v>46200</v>
      </c>
      <c r="D419" t="inlineStr">
        <is>
          <t>KALMAR LÄN</t>
        </is>
      </c>
      <c r="E419" t="inlineStr">
        <is>
          <t>HULTSFRED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52691-2023</t>
        </is>
      </c>
      <c r="B420" s="1" t="n">
        <v>45225</v>
      </c>
      <c r="C420" s="1" t="n">
        <v>46200</v>
      </c>
      <c r="D420" t="inlineStr">
        <is>
          <t>KALMAR LÄN</t>
        </is>
      </c>
      <c r="E420" t="inlineStr">
        <is>
          <t>HULTSFRED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20035-2023</t>
        </is>
      </c>
      <c r="B421" s="1" t="n">
        <v>45054</v>
      </c>
      <c r="C421" s="1" t="n">
        <v>46200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49703-2022</t>
        </is>
      </c>
      <c r="B422" s="1" t="n">
        <v>44862</v>
      </c>
      <c r="C422" s="1" t="n">
        <v>46200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63074-2023</t>
        </is>
      </c>
      <c r="B423" s="1" t="n">
        <v>45273</v>
      </c>
      <c r="C423" s="1" t="n">
        <v>46200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68102-2021</t>
        </is>
      </c>
      <c r="B424" s="1" t="n">
        <v>44526</v>
      </c>
      <c r="C424" s="1" t="n">
        <v>46200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57808-2023</t>
        </is>
      </c>
      <c r="B425" s="1" t="n">
        <v>45247</v>
      </c>
      <c r="C425" s="1" t="n">
        <v>46200</v>
      </c>
      <c r="D425" t="inlineStr">
        <is>
          <t>KALMAR LÄN</t>
        </is>
      </c>
      <c r="E425" t="inlineStr">
        <is>
          <t>HULTSFRED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44977-2021</t>
        </is>
      </c>
      <c r="B426" s="1" t="n">
        <v>44438</v>
      </c>
      <c r="C426" s="1" t="n">
        <v>46200</v>
      </c>
      <c r="D426" t="inlineStr">
        <is>
          <t>KALMAR LÄN</t>
        </is>
      </c>
      <c r="E426" t="inlineStr">
        <is>
          <t>HULTSFRED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15244-2023</t>
        </is>
      </c>
      <c r="B427" s="1" t="n">
        <v>45019</v>
      </c>
      <c r="C427" s="1" t="n">
        <v>46200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68803-2021</t>
        </is>
      </c>
      <c r="B428" s="1" t="n">
        <v>44530</v>
      </c>
      <c r="C428" s="1" t="n">
        <v>46200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56358-2024</t>
        </is>
      </c>
      <c r="B429" s="1" t="n">
        <v>45624</v>
      </c>
      <c r="C429" s="1" t="n">
        <v>46200</v>
      </c>
      <c r="D429" t="inlineStr">
        <is>
          <t>KALMAR LÄN</t>
        </is>
      </c>
      <c r="E429" t="inlineStr">
        <is>
          <t>HULTSFRED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19836-2025</t>
        </is>
      </c>
      <c r="B430" s="1" t="n">
        <v>45771</v>
      </c>
      <c r="C430" s="1" t="n">
        <v>46200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39941-2023</t>
        </is>
      </c>
      <c r="B431" s="1" t="n">
        <v>45168</v>
      </c>
      <c r="C431" s="1" t="n">
        <v>46200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41976-2022</t>
        </is>
      </c>
      <c r="B432" s="1" t="n">
        <v>44830</v>
      </c>
      <c r="C432" s="1" t="n">
        <v>46200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58208-2023</t>
        </is>
      </c>
      <c r="B433" s="1" t="n">
        <v>45250</v>
      </c>
      <c r="C433" s="1" t="n">
        <v>46200</v>
      </c>
      <c r="D433" t="inlineStr">
        <is>
          <t>KALMAR LÄN</t>
        </is>
      </c>
      <c r="E433" t="inlineStr">
        <is>
          <t>HULTSFRED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38705-2024</t>
        </is>
      </c>
      <c r="B434" s="1" t="n">
        <v>45547</v>
      </c>
      <c r="C434" s="1" t="n">
        <v>46200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54209-2021</t>
        </is>
      </c>
      <c r="B435" s="1" t="n">
        <v>44470</v>
      </c>
      <c r="C435" s="1" t="n">
        <v>46200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3753-2025</t>
        </is>
      </c>
      <c r="B436" s="1" t="n">
        <v>45681</v>
      </c>
      <c r="C436" s="1" t="n">
        <v>46200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3762-2025</t>
        </is>
      </c>
      <c r="B437" s="1" t="n">
        <v>45681</v>
      </c>
      <c r="C437" s="1" t="n">
        <v>46200</v>
      </c>
      <c r="D437" t="inlineStr">
        <is>
          <t>KALMAR LÄN</t>
        </is>
      </c>
      <c r="E437" t="inlineStr">
        <is>
          <t>HULTSFRED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55501-2023</t>
        </is>
      </c>
      <c r="B438" s="1" t="n">
        <v>45238</v>
      </c>
      <c r="C438" s="1" t="n">
        <v>46200</v>
      </c>
      <c r="D438" t="inlineStr">
        <is>
          <t>KALMAR LÄN</t>
        </is>
      </c>
      <c r="E438" t="inlineStr">
        <is>
          <t>HULTSFRED</t>
        </is>
      </c>
      <c r="F438" t="inlineStr">
        <is>
          <t>Kyrkan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28254-2024</t>
        </is>
      </c>
      <c r="B439" s="1" t="n">
        <v>45477</v>
      </c>
      <c r="C439" s="1" t="n">
        <v>46200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30233-2025</t>
        </is>
      </c>
      <c r="B440" s="1" t="n">
        <v>45827</v>
      </c>
      <c r="C440" s="1" t="n">
        <v>46200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30269-2025</t>
        </is>
      </c>
      <c r="B441" s="1" t="n">
        <v>45827</v>
      </c>
      <c r="C441" s="1" t="n">
        <v>46200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30273-2025</t>
        </is>
      </c>
      <c r="B442" s="1" t="n">
        <v>45827</v>
      </c>
      <c r="C442" s="1" t="n">
        <v>46200</v>
      </c>
      <c r="D442" t="inlineStr">
        <is>
          <t>KALMAR LÄN</t>
        </is>
      </c>
      <c r="E442" t="inlineStr">
        <is>
          <t>HULTSFRED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30242-2025</t>
        </is>
      </c>
      <c r="B443" s="1" t="n">
        <v>45827</v>
      </c>
      <c r="C443" s="1" t="n">
        <v>46200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30294-2025</t>
        </is>
      </c>
      <c r="B444" s="1" t="n">
        <v>45827</v>
      </c>
      <c r="C444" s="1" t="n">
        <v>46200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28910-2023</t>
        </is>
      </c>
      <c r="B445" s="1" t="n">
        <v>45104</v>
      </c>
      <c r="C445" s="1" t="n">
        <v>46200</v>
      </c>
      <c r="D445" t="inlineStr">
        <is>
          <t>KALMAR LÄN</t>
        </is>
      </c>
      <c r="E445" t="inlineStr">
        <is>
          <t>HULTSFRED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30284-2025</t>
        </is>
      </c>
      <c r="B446" s="1" t="n">
        <v>45827</v>
      </c>
      <c r="C446" s="1" t="n">
        <v>46200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9590-2024</t>
        </is>
      </c>
      <c r="B447" s="1" t="n">
        <v>45360</v>
      </c>
      <c r="C447" s="1" t="n">
        <v>46200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35816-2024</t>
        </is>
      </c>
      <c r="B448" s="1" t="n">
        <v>45532</v>
      </c>
      <c r="C448" s="1" t="n">
        <v>46200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59467-2024</t>
        </is>
      </c>
      <c r="B449" s="1" t="n">
        <v>45638</v>
      </c>
      <c r="C449" s="1" t="n">
        <v>46200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30929-2025</t>
        </is>
      </c>
      <c r="B450" s="1" t="n">
        <v>45831</v>
      </c>
      <c r="C450" s="1" t="n">
        <v>46200</v>
      </c>
      <c r="D450" t="inlineStr">
        <is>
          <t>KALMAR LÄN</t>
        </is>
      </c>
      <c r="E450" t="inlineStr">
        <is>
          <t>HULTSFRED</t>
        </is>
      </c>
      <c r="F450" t="inlineStr">
        <is>
          <t>Kommuner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50320-2023</t>
        </is>
      </c>
      <c r="B451" s="1" t="n">
        <v>45216</v>
      </c>
      <c r="C451" s="1" t="n">
        <v>46200</v>
      </c>
      <c r="D451" t="inlineStr">
        <is>
          <t>KALMAR LÄN</t>
        </is>
      </c>
      <c r="E451" t="inlineStr">
        <is>
          <t>HULTSFRED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34289-2024</t>
        </is>
      </c>
      <c r="B452" s="1" t="n">
        <v>45524</v>
      </c>
      <c r="C452" s="1" t="n">
        <v>46200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56944-2021</t>
        </is>
      </c>
      <c r="B453" s="1" t="n">
        <v>44482</v>
      </c>
      <c r="C453" s="1" t="n">
        <v>46200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61509-2024</t>
        </is>
      </c>
      <c r="B454" s="1" t="n">
        <v>45646</v>
      </c>
      <c r="C454" s="1" t="n">
        <v>46200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46411-2023</t>
        </is>
      </c>
      <c r="B455" s="1" t="n">
        <v>45194</v>
      </c>
      <c r="C455" s="1" t="n">
        <v>46200</v>
      </c>
      <c r="D455" t="inlineStr">
        <is>
          <t>KALMAR LÄN</t>
        </is>
      </c>
      <c r="E455" t="inlineStr">
        <is>
          <t>HULTSFRED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58095-2023</t>
        </is>
      </c>
      <c r="B456" s="1" t="n">
        <v>45248</v>
      </c>
      <c r="C456" s="1" t="n">
        <v>46200</v>
      </c>
      <c r="D456" t="inlineStr">
        <is>
          <t>KALMAR LÄN</t>
        </is>
      </c>
      <c r="E456" t="inlineStr">
        <is>
          <t>HULTSFRED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40009-2023</t>
        </is>
      </c>
      <c r="B457" s="1" t="n">
        <v>45168</v>
      </c>
      <c r="C457" s="1" t="n">
        <v>46200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31265-2025</t>
        </is>
      </c>
      <c r="B458" s="1" t="n">
        <v>45833</v>
      </c>
      <c r="C458" s="1" t="n">
        <v>46200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44715-2023</t>
        </is>
      </c>
      <c r="B459" s="1" t="n">
        <v>45190</v>
      </c>
      <c r="C459" s="1" t="n">
        <v>46200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31812-2025</t>
        </is>
      </c>
      <c r="B460" s="1" t="n">
        <v>45834</v>
      </c>
      <c r="C460" s="1" t="n">
        <v>46200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55495-2023</t>
        </is>
      </c>
      <c r="B461" s="1" t="n">
        <v>45238</v>
      </c>
      <c r="C461" s="1" t="n">
        <v>46200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48320-2023</t>
        </is>
      </c>
      <c r="B462" s="1" t="n">
        <v>45205</v>
      </c>
      <c r="C462" s="1" t="n">
        <v>46200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54944-2021</t>
        </is>
      </c>
      <c r="B463" s="1" t="n">
        <v>44474</v>
      </c>
      <c r="C463" s="1" t="n">
        <v>46200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64306-2023</t>
        </is>
      </c>
      <c r="B464" s="1" t="n">
        <v>45280</v>
      </c>
      <c r="C464" s="1" t="n">
        <v>46200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28214-2024</t>
        </is>
      </c>
      <c r="B465" s="1" t="n">
        <v>45477</v>
      </c>
      <c r="C465" s="1" t="n">
        <v>46200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53810-2024</t>
        </is>
      </c>
      <c r="B466" s="1" t="n">
        <v>45615</v>
      </c>
      <c r="C466" s="1" t="n">
        <v>46200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36663-2023</t>
        </is>
      </c>
      <c r="B467" s="1" t="n">
        <v>45153</v>
      </c>
      <c r="C467" s="1" t="n">
        <v>46200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2857-2024</t>
        </is>
      </c>
      <c r="B468" s="1" t="n">
        <v>45315</v>
      </c>
      <c r="C468" s="1" t="n">
        <v>46200</v>
      </c>
      <c r="D468" t="inlineStr">
        <is>
          <t>KALMAR LÄN</t>
        </is>
      </c>
      <c r="E468" t="inlineStr">
        <is>
          <t>HULTSFRED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42567-2022</t>
        </is>
      </c>
      <c r="B469" s="1" t="n">
        <v>44831</v>
      </c>
      <c r="C469" s="1" t="n">
        <v>46200</v>
      </c>
      <c r="D469" t="inlineStr">
        <is>
          <t>KALMAR LÄN</t>
        </is>
      </c>
      <c r="E469" t="inlineStr">
        <is>
          <t>HULTSFRED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33990-2025</t>
        </is>
      </c>
      <c r="B470" s="1" t="n">
        <v>45843</v>
      </c>
      <c r="C470" s="1" t="n">
        <v>46200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4974-2023</t>
        </is>
      </c>
      <c r="B471" s="1" t="n">
        <v>44958</v>
      </c>
      <c r="C471" s="1" t="n">
        <v>46200</v>
      </c>
      <c r="D471" t="inlineStr">
        <is>
          <t>KALMAR LÄN</t>
        </is>
      </c>
      <c r="E471" t="inlineStr">
        <is>
          <t>HULTSFRED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42229-2023</t>
        </is>
      </c>
      <c r="B472" s="1" t="n">
        <v>45180</v>
      </c>
      <c r="C472" s="1" t="n">
        <v>46200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3403-2024</t>
        </is>
      </c>
      <c r="B473" s="1" t="n">
        <v>45318</v>
      </c>
      <c r="C473" s="1" t="n">
        <v>46200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28238-2024</t>
        </is>
      </c>
      <c r="B474" s="1" t="n">
        <v>45477</v>
      </c>
      <c r="C474" s="1" t="n">
        <v>46200</v>
      </c>
      <c r="D474" t="inlineStr">
        <is>
          <t>KALMAR LÄN</t>
        </is>
      </c>
      <c r="E474" t="inlineStr">
        <is>
          <t>HULTSFRED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37628-2024</t>
        </is>
      </c>
      <c r="B475" s="1" t="n">
        <v>45541</v>
      </c>
      <c r="C475" s="1" t="n">
        <v>46200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33440-2023</t>
        </is>
      </c>
      <c r="B476" s="1" t="n">
        <v>45129</v>
      </c>
      <c r="C476" s="1" t="n">
        <v>46200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48927-2023</t>
        </is>
      </c>
      <c r="B477" s="1" t="n">
        <v>45209</v>
      </c>
      <c r="C477" s="1" t="n">
        <v>46200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12166-2023</t>
        </is>
      </c>
      <c r="B478" s="1" t="n">
        <v>44998</v>
      </c>
      <c r="C478" s="1" t="n">
        <v>46200</v>
      </c>
      <c r="D478" t="inlineStr">
        <is>
          <t>KALMAR LÄN</t>
        </is>
      </c>
      <c r="E478" t="inlineStr">
        <is>
          <t>HULTSFRED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41219-2023</t>
        </is>
      </c>
      <c r="B479" s="1" t="n">
        <v>45174</v>
      </c>
      <c r="C479" s="1" t="n">
        <v>46200</v>
      </c>
      <c r="D479" t="inlineStr">
        <is>
          <t>KALMAR LÄN</t>
        </is>
      </c>
      <c r="E479" t="inlineStr">
        <is>
          <t>HULTSFRED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44681-2023</t>
        </is>
      </c>
      <c r="B480" s="1" t="n">
        <v>45189</v>
      </c>
      <c r="C480" s="1" t="n">
        <v>46200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7078-2023</t>
        </is>
      </c>
      <c r="B481" s="1" t="n">
        <v>44970</v>
      </c>
      <c r="C481" s="1" t="n">
        <v>46200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63867-2023</t>
        </is>
      </c>
      <c r="B482" s="1" t="n">
        <v>45278</v>
      </c>
      <c r="C482" s="1" t="n">
        <v>46200</v>
      </c>
      <c r="D482" t="inlineStr">
        <is>
          <t>KALMAR LÄN</t>
        </is>
      </c>
      <c r="E482" t="inlineStr">
        <is>
          <t>HULTSFRED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40554-2023</t>
        </is>
      </c>
      <c r="B483" s="1" t="n">
        <v>45170</v>
      </c>
      <c r="C483" s="1" t="n">
        <v>46200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24258-2022</t>
        </is>
      </c>
      <c r="B484" s="1" t="n">
        <v>44725</v>
      </c>
      <c r="C484" s="1" t="n">
        <v>46200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16888-2025</t>
        </is>
      </c>
      <c r="B485" s="1" t="n">
        <v>45755</v>
      </c>
      <c r="C485" s="1" t="n">
        <v>46200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16889-2025</t>
        </is>
      </c>
      <c r="B486" s="1" t="n">
        <v>45755</v>
      </c>
      <c r="C486" s="1" t="n">
        <v>46200</v>
      </c>
      <c r="D486" t="inlineStr">
        <is>
          <t>KALMAR LÄN</t>
        </is>
      </c>
      <c r="E486" t="inlineStr">
        <is>
          <t>HULTSFRED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53990-2022</t>
        </is>
      </c>
      <c r="B487" s="1" t="n">
        <v>44881</v>
      </c>
      <c r="C487" s="1" t="n">
        <v>46200</v>
      </c>
      <c r="D487" t="inlineStr">
        <is>
          <t>KALMAR LÄN</t>
        </is>
      </c>
      <c r="E487" t="inlineStr">
        <is>
          <t>HULTSFRED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62478-2023</t>
        </is>
      </c>
      <c r="B488" s="1" t="n">
        <v>45268</v>
      </c>
      <c r="C488" s="1" t="n">
        <v>46200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12328-2023</t>
        </is>
      </c>
      <c r="B489" s="1" t="n">
        <v>44999</v>
      </c>
      <c r="C489" s="1" t="n">
        <v>46200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115-2023</t>
        </is>
      </c>
      <c r="B490" s="1" t="n">
        <v>44928</v>
      </c>
      <c r="C490" s="1" t="n">
        <v>46200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53726-2022</t>
        </is>
      </c>
      <c r="B491" s="1" t="n">
        <v>44880</v>
      </c>
      <c r="C491" s="1" t="n">
        <v>46200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14726-2025</t>
        </is>
      </c>
      <c r="B492" s="1" t="n">
        <v>45742</v>
      </c>
      <c r="C492" s="1" t="n">
        <v>46200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14599-2022</t>
        </is>
      </c>
      <c r="B493" s="1" t="n">
        <v>44655</v>
      </c>
      <c r="C493" s="1" t="n">
        <v>46200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1065-2024</t>
        </is>
      </c>
      <c r="B494" s="1" t="n">
        <v>45302</v>
      </c>
      <c r="C494" s="1" t="n">
        <v>46200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55108-2024</t>
        </is>
      </c>
      <c r="B495" s="1" t="n">
        <v>45621</v>
      </c>
      <c r="C495" s="1" t="n">
        <v>46200</v>
      </c>
      <c r="D495" t="inlineStr">
        <is>
          <t>KALMAR LÄN</t>
        </is>
      </c>
      <c r="E495" t="inlineStr">
        <is>
          <t>HULTSFRED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112-2023</t>
        </is>
      </c>
      <c r="B496" s="1" t="n">
        <v>44928</v>
      </c>
      <c r="C496" s="1" t="n">
        <v>46200</v>
      </c>
      <c r="D496" t="inlineStr">
        <is>
          <t>KALMAR LÄN</t>
        </is>
      </c>
      <c r="E496" t="inlineStr">
        <is>
          <t>HULTSFRED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144-2023</t>
        </is>
      </c>
      <c r="B497" s="1" t="n">
        <v>44928</v>
      </c>
      <c r="C497" s="1" t="n">
        <v>46200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</v>
      </c>
      <c r="C498" s="1" t="n">
        <v>46200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38568-2025</t>
        </is>
      </c>
      <c r="B499" s="1" t="n">
        <v>45884</v>
      </c>
      <c r="C499" s="1" t="n">
        <v>46200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42743-2024</t>
        </is>
      </c>
      <c r="B500" s="1" t="n">
        <v>45566</v>
      </c>
      <c r="C500" s="1" t="n">
        <v>46200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53191-2023</t>
        </is>
      </c>
      <c r="B501" s="1" t="n">
        <v>45229</v>
      </c>
      <c r="C501" s="1" t="n">
        <v>46200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46200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36692-2023</t>
        </is>
      </c>
      <c r="B503" s="1" t="n">
        <v>45153</v>
      </c>
      <c r="C503" s="1" t="n">
        <v>46200</v>
      </c>
      <c r="D503" t="inlineStr">
        <is>
          <t>KALMAR LÄN</t>
        </is>
      </c>
      <c r="E503" t="inlineStr">
        <is>
          <t>HULTSFRED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22622-2024</t>
        </is>
      </c>
      <c r="B504" s="1" t="n">
        <v>45447</v>
      </c>
      <c r="C504" s="1" t="n">
        <v>46200</v>
      </c>
      <c r="D504" t="inlineStr">
        <is>
          <t>KALMAR LÄN</t>
        </is>
      </c>
      <c r="E504" t="inlineStr">
        <is>
          <t>HULTSFRED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7753-2025</t>
        </is>
      </c>
      <c r="B505" s="1" t="n">
        <v>45706</v>
      </c>
      <c r="C505" s="1" t="n">
        <v>46200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30005-2025</t>
        </is>
      </c>
      <c r="B506" s="1" t="n">
        <v>45826</v>
      </c>
      <c r="C506" s="1" t="n">
        <v>46200</v>
      </c>
      <c r="D506" t="inlineStr">
        <is>
          <t>KALMAR LÄN</t>
        </is>
      </c>
      <c r="E506" t="inlineStr">
        <is>
          <t>HULTSFRED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52893-2024</t>
        </is>
      </c>
      <c r="B507" s="1" t="n">
        <v>45610</v>
      </c>
      <c r="C507" s="1" t="n">
        <v>46200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61898-2023</t>
        </is>
      </c>
      <c r="B508" s="1" t="n">
        <v>45266</v>
      </c>
      <c r="C508" s="1" t="n">
        <v>46200</v>
      </c>
      <c r="D508" t="inlineStr">
        <is>
          <t>KALMAR LÄN</t>
        </is>
      </c>
      <c r="E508" t="inlineStr">
        <is>
          <t>HULTSFRED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19403-2023</t>
        </is>
      </c>
      <c r="B509" s="1" t="n">
        <v>45049</v>
      </c>
      <c r="C509" s="1" t="n">
        <v>46200</v>
      </c>
      <c r="D509" t="inlineStr">
        <is>
          <t>KALMAR LÄN</t>
        </is>
      </c>
      <c r="E509" t="inlineStr">
        <is>
          <t>HULTSFRED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11703-2023</t>
        </is>
      </c>
      <c r="B510" s="1" t="n">
        <v>44994</v>
      </c>
      <c r="C510" s="1" t="n">
        <v>46200</v>
      </c>
      <c r="D510" t="inlineStr">
        <is>
          <t>KALMAR LÄN</t>
        </is>
      </c>
      <c r="E510" t="inlineStr">
        <is>
          <t>HULTSFRED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11710-2023</t>
        </is>
      </c>
      <c r="B511" s="1" t="n">
        <v>44994</v>
      </c>
      <c r="C511" s="1" t="n">
        <v>46200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19899-2025</t>
        </is>
      </c>
      <c r="B512" s="1" t="n">
        <v>45771</v>
      </c>
      <c r="C512" s="1" t="n">
        <v>46200</v>
      </c>
      <c r="D512" t="inlineStr">
        <is>
          <t>KALMAR LÄN</t>
        </is>
      </c>
      <c r="E512" t="inlineStr">
        <is>
          <t>HULTSFRED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31422-2024</t>
        </is>
      </c>
      <c r="B513" s="1" t="n">
        <v>45505</v>
      </c>
      <c r="C513" s="1" t="n">
        <v>46200</v>
      </c>
      <c r="D513" t="inlineStr">
        <is>
          <t>KALMAR LÄN</t>
        </is>
      </c>
      <c r="E513" t="inlineStr">
        <is>
          <t>HULTSFRED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35177-2025</t>
        </is>
      </c>
      <c r="B514" s="1" t="n">
        <v>45852</v>
      </c>
      <c r="C514" s="1" t="n">
        <v>46200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68991-2021</t>
        </is>
      </c>
      <c r="B515" s="1" t="n">
        <v>44529</v>
      </c>
      <c r="C515" s="1" t="n">
        <v>46200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3999-2023</t>
        </is>
      </c>
      <c r="B516" s="1" t="n">
        <v>44952</v>
      </c>
      <c r="C516" s="1" t="n">
        <v>46200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16890-2025</t>
        </is>
      </c>
      <c r="B517" s="1" t="n">
        <v>45755</v>
      </c>
      <c r="C517" s="1" t="n">
        <v>46200</v>
      </c>
      <c r="D517" t="inlineStr">
        <is>
          <t>KALMAR LÄN</t>
        </is>
      </c>
      <c r="E517" t="inlineStr">
        <is>
          <t>HULTSFRED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31423-2024</t>
        </is>
      </c>
      <c r="B518" s="1" t="n">
        <v>45505</v>
      </c>
      <c r="C518" s="1" t="n">
        <v>46200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72708-2021</t>
        </is>
      </c>
      <c r="B519" s="1" t="n">
        <v>44546</v>
      </c>
      <c r="C519" s="1" t="n">
        <v>46200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10992-2024</t>
        </is>
      </c>
      <c r="B520" s="1" t="n">
        <v>45370</v>
      </c>
      <c r="C520" s="1" t="n">
        <v>46200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48698-2025</t>
        </is>
      </c>
      <c r="B521" s="1" t="n">
        <v>45936</v>
      </c>
      <c r="C521" s="1" t="n">
        <v>46200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62632-2023</t>
        </is>
      </c>
      <c r="B522" s="1" t="n">
        <v>45271</v>
      </c>
      <c r="C522" s="1" t="n">
        <v>46200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30386-2023</t>
        </is>
      </c>
      <c r="B523" s="1" t="n">
        <v>45099</v>
      </c>
      <c r="C523" s="1" t="n">
        <v>46200</v>
      </c>
      <c r="D523" t="inlineStr">
        <is>
          <t>KALMAR LÄN</t>
        </is>
      </c>
      <c r="E523" t="inlineStr">
        <is>
          <t>HULTSFRED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46029-2024</t>
        </is>
      </c>
      <c r="B524" s="1" t="n">
        <v>45580</v>
      </c>
      <c r="C524" s="1" t="n">
        <v>46200</v>
      </c>
      <c r="D524" t="inlineStr">
        <is>
          <t>KALMAR LÄN</t>
        </is>
      </c>
      <c r="E524" t="inlineStr">
        <is>
          <t>HULTSFRED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48693-2025</t>
        </is>
      </c>
      <c r="B525" s="1" t="n">
        <v>45936</v>
      </c>
      <c r="C525" s="1" t="n">
        <v>46200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36278-2023</t>
        </is>
      </c>
      <c r="B526" s="1" t="n">
        <v>45152</v>
      </c>
      <c r="C526" s="1" t="n">
        <v>46200</v>
      </c>
      <c r="D526" t="inlineStr">
        <is>
          <t>KALMAR LÄN</t>
        </is>
      </c>
      <c r="E526" t="inlineStr">
        <is>
          <t>HULTSFRED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33960-2025</t>
        </is>
      </c>
      <c r="B527" s="1" t="n">
        <v>45842</v>
      </c>
      <c r="C527" s="1" t="n">
        <v>46200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27531-2025</t>
        </is>
      </c>
      <c r="B528" s="1" t="n">
        <v>45813</v>
      </c>
      <c r="C528" s="1" t="n">
        <v>46200</v>
      </c>
      <c r="D528" t="inlineStr">
        <is>
          <t>KALMAR LÄN</t>
        </is>
      </c>
      <c r="E528" t="inlineStr">
        <is>
          <t>HULTSFRED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40187-2025</t>
        </is>
      </c>
      <c r="B529" s="1" t="n">
        <v>45894</v>
      </c>
      <c r="C529" s="1" t="n">
        <v>46200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59464-2024</t>
        </is>
      </c>
      <c r="B530" s="1" t="n">
        <v>45638</v>
      </c>
      <c r="C530" s="1" t="n">
        <v>46200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42961-2023</t>
        </is>
      </c>
      <c r="B531" s="1" t="n">
        <v>45182</v>
      </c>
      <c r="C531" s="1" t="n">
        <v>46200</v>
      </c>
      <c r="D531" t="inlineStr">
        <is>
          <t>KALMAR LÄN</t>
        </is>
      </c>
      <c r="E531" t="inlineStr">
        <is>
          <t>HULTSFRED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58861-2023</t>
        </is>
      </c>
      <c r="B532" s="1" t="n">
        <v>45252</v>
      </c>
      <c r="C532" s="1" t="n">
        <v>46200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9293-2025</t>
        </is>
      </c>
      <c r="B533" s="1" t="n">
        <v>45714</v>
      </c>
      <c r="C533" s="1" t="n">
        <v>46200</v>
      </c>
      <c r="D533" t="inlineStr">
        <is>
          <t>KALMAR LÄN</t>
        </is>
      </c>
      <c r="E533" t="inlineStr">
        <is>
          <t>HULTSFRED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51052-2025</t>
        </is>
      </c>
      <c r="B534" s="1" t="n">
        <v>45947</v>
      </c>
      <c r="C534" s="1" t="n">
        <v>46200</v>
      </c>
      <c r="D534" t="inlineStr">
        <is>
          <t>KALMAR LÄN</t>
        </is>
      </c>
      <c r="E534" t="inlineStr">
        <is>
          <t>HULTSFRED</t>
        </is>
      </c>
      <c r="F534" t="inlineStr">
        <is>
          <t>Kyrkan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33886-2023</t>
        </is>
      </c>
      <c r="B535" s="1" t="n">
        <v>45134</v>
      </c>
      <c r="C535" s="1" t="n">
        <v>46200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9587-2025</t>
        </is>
      </c>
      <c r="B536" s="1" t="n">
        <v>45715</v>
      </c>
      <c r="C536" s="1" t="n">
        <v>46200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12192-2025</t>
        </is>
      </c>
      <c r="B537" s="1" t="n">
        <v>45729</v>
      </c>
      <c r="C537" s="1" t="n">
        <v>46200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52134-2025</t>
        </is>
      </c>
      <c r="B538" s="1" t="n">
        <v>45952</v>
      </c>
      <c r="C538" s="1" t="n">
        <v>46200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52133-2025</t>
        </is>
      </c>
      <c r="B539" s="1" t="n">
        <v>45952</v>
      </c>
      <c r="C539" s="1" t="n">
        <v>46200</v>
      </c>
      <c r="D539" t="inlineStr">
        <is>
          <t>KALMAR LÄN</t>
        </is>
      </c>
      <c r="E539" t="inlineStr">
        <is>
          <t>HULTSFRED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211-2022</t>
        </is>
      </c>
      <c r="B540" s="1" t="n">
        <v>44564</v>
      </c>
      <c r="C540" s="1" t="n">
        <v>46200</v>
      </c>
      <c r="D540" t="inlineStr">
        <is>
          <t>KALMAR LÄN</t>
        </is>
      </c>
      <c r="E540" t="inlineStr">
        <is>
          <t>HULTSFRED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36271-2023</t>
        </is>
      </c>
      <c r="B541" s="1" t="n">
        <v>45152</v>
      </c>
      <c r="C541" s="1" t="n">
        <v>46200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12390-2023</t>
        </is>
      </c>
      <c r="B542" s="1" t="n">
        <v>44999</v>
      </c>
      <c r="C542" s="1" t="n">
        <v>46200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11566-2025</t>
        </is>
      </c>
      <c r="B543" s="1" t="n">
        <v>45727</v>
      </c>
      <c r="C543" s="1" t="n">
        <v>46200</v>
      </c>
      <c r="D543" t="inlineStr">
        <is>
          <t>KALMAR LÄN</t>
        </is>
      </c>
      <c r="E543" t="inlineStr">
        <is>
          <t>HULTSFRED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29046-2023</t>
        </is>
      </c>
      <c r="B544" s="1" t="n">
        <v>45104</v>
      </c>
      <c r="C544" s="1" t="n">
        <v>46200</v>
      </c>
      <c r="D544" t="inlineStr">
        <is>
          <t>KALMAR LÄN</t>
        </is>
      </c>
      <c r="E544" t="inlineStr">
        <is>
          <t>HULTSFRED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42873-2025</t>
        </is>
      </c>
      <c r="B545" s="1" t="n">
        <v>45908</v>
      </c>
      <c r="C545" s="1" t="n">
        <v>46200</v>
      </c>
      <c r="D545" t="inlineStr">
        <is>
          <t>KALMAR LÄN</t>
        </is>
      </c>
      <c r="E545" t="inlineStr">
        <is>
          <t>HULTSFRED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43034-2025</t>
        </is>
      </c>
      <c r="B546" s="1" t="n">
        <v>45909</v>
      </c>
      <c r="C546" s="1" t="n">
        <v>46200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43044-2025</t>
        </is>
      </c>
      <c r="B547" s="1" t="n">
        <v>45909</v>
      </c>
      <c r="C547" s="1" t="n">
        <v>46200</v>
      </c>
      <c r="D547" t="inlineStr">
        <is>
          <t>KALMAR LÄN</t>
        </is>
      </c>
      <c r="E547" t="inlineStr">
        <is>
          <t>HULTSFRED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15445-2023</t>
        </is>
      </c>
      <c r="B548" s="1" t="n">
        <v>45016</v>
      </c>
      <c r="C548" s="1" t="n">
        <v>46200</v>
      </c>
      <c r="D548" t="inlineStr">
        <is>
          <t>KALMAR LÄN</t>
        </is>
      </c>
      <c r="E548" t="inlineStr">
        <is>
          <t>HULTSFRED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43037-2025</t>
        </is>
      </c>
      <c r="B549" s="1" t="n">
        <v>45909</v>
      </c>
      <c r="C549" s="1" t="n">
        <v>46200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53345-2025</t>
        </is>
      </c>
      <c r="B550" s="1" t="n">
        <v>45959</v>
      </c>
      <c r="C550" s="1" t="n">
        <v>46200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15130-2023</t>
        </is>
      </c>
      <c r="B551" s="1" t="n">
        <v>45016</v>
      </c>
      <c r="C551" s="1" t="n">
        <v>46200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53257-2025</t>
        </is>
      </c>
      <c r="B552" s="1" t="n">
        <v>45958</v>
      </c>
      <c r="C552" s="1" t="n">
        <v>46200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53905-2025</t>
        </is>
      </c>
      <c r="B553" s="1" t="n">
        <v>45961</v>
      </c>
      <c r="C553" s="1" t="n">
        <v>46200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53907-2025</t>
        </is>
      </c>
      <c r="B554" s="1" t="n">
        <v>45961</v>
      </c>
      <c r="C554" s="1" t="n">
        <v>46200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53910-2025</t>
        </is>
      </c>
      <c r="B555" s="1" t="n">
        <v>45961</v>
      </c>
      <c r="C555" s="1" t="n">
        <v>46200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53914-2025</t>
        </is>
      </c>
      <c r="B556" s="1" t="n">
        <v>45961</v>
      </c>
      <c r="C556" s="1" t="n">
        <v>46200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53900-2025</t>
        </is>
      </c>
      <c r="B557" s="1" t="n">
        <v>45961</v>
      </c>
      <c r="C557" s="1" t="n">
        <v>46200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53912-2025</t>
        </is>
      </c>
      <c r="B558" s="1" t="n">
        <v>45961</v>
      </c>
      <c r="C558" s="1" t="n">
        <v>46200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53901-2025</t>
        </is>
      </c>
      <c r="B559" s="1" t="n">
        <v>45961</v>
      </c>
      <c r="C559" s="1" t="n">
        <v>46200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13781-2024</t>
        </is>
      </c>
      <c r="B560" s="1" t="n">
        <v>45391</v>
      </c>
      <c r="C560" s="1" t="n">
        <v>46200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13786-2024</t>
        </is>
      </c>
      <c r="B561" s="1" t="n">
        <v>45391</v>
      </c>
      <c r="C561" s="1" t="n">
        <v>46200</v>
      </c>
      <c r="D561" t="inlineStr">
        <is>
          <t>KALMAR LÄN</t>
        </is>
      </c>
      <c r="E561" t="inlineStr">
        <is>
          <t>HULTSFRED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59977-2023</t>
        </is>
      </c>
      <c r="B562" s="1" t="n">
        <v>45257</v>
      </c>
      <c r="C562" s="1" t="n">
        <v>46200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53908-2025</t>
        </is>
      </c>
      <c r="B563" s="1" t="n">
        <v>45961</v>
      </c>
      <c r="C563" s="1" t="n">
        <v>46200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44399-2025</t>
        </is>
      </c>
      <c r="B564" s="1" t="n">
        <v>45916</v>
      </c>
      <c r="C564" s="1" t="n">
        <v>46200</v>
      </c>
      <c r="D564" t="inlineStr">
        <is>
          <t>KALMAR LÄN</t>
        </is>
      </c>
      <c r="E564" t="inlineStr">
        <is>
          <t>HULTSFRED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54308-2025</t>
        </is>
      </c>
      <c r="B565" s="1" t="n">
        <v>45965</v>
      </c>
      <c r="C565" s="1" t="n">
        <v>46200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54348-2025</t>
        </is>
      </c>
      <c r="B566" s="1" t="n">
        <v>45964</v>
      </c>
      <c r="C566" s="1" t="n">
        <v>46200</v>
      </c>
      <c r="D566" t="inlineStr">
        <is>
          <t>KALMAR LÄN</t>
        </is>
      </c>
      <c r="E566" t="inlineStr">
        <is>
          <t>HULTSFRED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5584-2025</t>
        </is>
      </c>
      <c r="B567" s="1" t="n">
        <v>45693</v>
      </c>
      <c r="C567" s="1" t="n">
        <v>46200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5587-2025</t>
        </is>
      </c>
      <c r="B568" s="1" t="n">
        <v>45693</v>
      </c>
      <c r="C568" s="1" t="n">
        <v>46200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8930-2022</t>
        </is>
      </c>
      <c r="B569" s="1" t="n">
        <v>44614</v>
      </c>
      <c r="C569" s="1" t="n">
        <v>46200</v>
      </c>
      <c r="D569" t="inlineStr">
        <is>
          <t>KALMAR LÄN</t>
        </is>
      </c>
      <c r="E569" t="inlineStr">
        <is>
          <t>HULTSFRED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45727-2025</t>
        </is>
      </c>
      <c r="B570" s="1" t="n">
        <v>45923</v>
      </c>
      <c r="C570" s="1" t="n">
        <v>46200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45824-2025</t>
        </is>
      </c>
      <c r="B571" s="1" t="n">
        <v>45923</v>
      </c>
      <c r="C571" s="1" t="n">
        <v>46200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23852-2024</t>
        </is>
      </c>
      <c r="B572" s="1" t="n">
        <v>45455</v>
      </c>
      <c r="C572" s="1" t="n">
        <v>46200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46439-2025</t>
        </is>
      </c>
      <c r="B573" s="1" t="n">
        <v>45925</v>
      </c>
      <c r="C573" s="1" t="n">
        <v>46200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46443-2025</t>
        </is>
      </c>
      <c r="B574" s="1" t="n">
        <v>45925</v>
      </c>
      <c r="C574" s="1" t="n">
        <v>46200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46446-2025</t>
        </is>
      </c>
      <c r="B575" s="1" t="n">
        <v>45925</v>
      </c>
      <c r="C575" s="1" t="n">
        <v>46200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46444-2025</t>
        </is>
      </c>
      <c r="B576" s="1" t="n">
        <v>45925</v>
      </c>
      <c r="C576" s="1" t="n">
        <v>46200</v>
      </c>
      <c r="D576" t="inlineStr">
        <is>
          <t>KALMAR LÄN</t>
        </is>
      </c>
      <c r="E576" t="inlineStr">
        <is>
          <t>HULTSFRED</t>
        </is>
      </c>
      <c r="F576" t="inlineStr">
        <is>
          <t>Övriga Aktiebolag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46448-2025</t>
        </is>
      </c>
      <c r="B577" s="1" t="n">
        <v>45925</v>
      </c>
      <c r="C577" s="1" t="n">
        <v>46200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46449-2025</t>
        </is>
      </c>
      <c r="B578" s="1" t="n">
        <v>45925</v>
      </c>
      <c r="C578" s="1" t="n">
        <v>46200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45934-2025</t>
        </is>
      </c>
      <c r="B579" s="1" t="n">
        <v>45923</v>
      </c>
      <c r="C579" s="1" t="n">
        <v>46200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46032-2025</t>
        </is>
      </c>
      <c r="B580" s="1" t="n">
        <v>45924</v>
      </c>
      <c r="C580" s="1" t="n">
        <v>46200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55971-2025</t>
        </is>
      </c>
      <c r="B581" s="1" t="n">
        <v>45973</v>
      </c>
      <c r="C581" s="1" t="n">
        <v>46200</v>
      </c>
      <c r="D581" t="inlineStr">
        <is>
          <t>KALMAR LÄN</t>
        </is>
      </c>
      <c r="E581" t="inlineStr">
        <is>
          <t>HULTSFRED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47040-2025</t>
        </is>
      </c>
      <c r="B582" s="1" t="n">
        <v>45929</v>
      </c>
      <c r="C582" s="1" t="n">
        <v>46200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47042-2025</t>
        </is>
      </c>
      <c r="B583" s="1" t="n">
        <v>45929</v>
      </c>
      <c r="C583" s="1" t="n">
        <v>46200</v>
      </c>
      <c r="D583" t="inlineStr">
        <is>
          <t>KALMAR LÄN</t>
        </is>
      </c>
      <c r="E583" t="inlineStr">
        <is>
          <t>HULTSFRED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46563-2025</t>
        </is>
      </c>
      <c r="B584" s="1" t="n">
        <v>45926</v>
      </c>
      <c r="C584" s="1" t="n">
        <v>46200</v>
      </c>
      <c r="D584" t="inlineStr">
        <is>
          <t>KALMAR LÄN</t>
        </is>
      </c>
      <c r="E584" t="inlineStr">
        <is>
          <t>HULTSFRED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47064-2025</t>
        </is>
      </c>
      <c r="B585" s="1" t="n">
        <v>45929</v>
      </c>
      <c r="C585" s="1" t="n">
        <v>46200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47033-2025</t>
        </is>
      </c>
      <c r="B586" s="1" t="n">
        <v>45929</v>
      </c>
      <c r="C586" s="1" t="n">
        <v>46200</v>
      </c>
      <c r="D586" t="inlineStr">
        <is>
          <t>KALMAR LÄN</t>
        </is>
      </c>
      <c r="E586" t="inlineStr">
        <is>
          <t>HULTSFRED</t>
        </is>
      </c>
      <c r="F586" t="inlineStr">
        <is>
          <t>Övriga Aktiebolag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47041-2025</t>
        </is>
      </c>
      <c r="B587" s="1" t="n">
        <v>45929</v>
      </c>
      <c r="C587" s="1" t="n">
        <v>46200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47045-2025</t>
        </is>
      </c>
      <c r="B588" s="1" t="n">
        <v>45929</v>
      </c>
      <c r="C588" s="1" t="n">
        <v>46200</v>
      </c>
      <c r="D588" t="inlineStr">
        <is>
          <t>KALMAR LÄN</t>
        </is>
      </c>
      <c r="E588" t="inlineStr">
        <is>
          <t>HULTSFRED</t>
        </is>
      </c>
      <c r="F588" t="inlineStr">
        <is>
          <t>Övriga Aktiebolag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57546-2025</t>
        </is>
      </c>
      <c r="B589" s="1" t="n">
        <v>45980</v>
      </c>
      <c r="C589" s="1" t="n">
        <v>46200</v>
      </c>
      <c r="D589" t="inlineStr">
        <is>
          <t>KALMAR LÄN</t>
        </is>
      </c>
      <c r="E589" t="inlineStr">
        <is>
          <t>HULTSFRED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13156-2025</t>
        </is>
      </c>
      <c r="B590" s="1" t="n">
        <v>45735</v>
      </c>
      <c r="C590" s="1" t="n">
        <v>46200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24779-2025</t>
        </is>
      </c>
      <c r="B591" s="1" t="n">
        <v>45799</v>
      </c>
      <c r="C591" s="1" t="n">
        <v>46200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59764-2024</t>
        </is>
      </c>
      <c r="B592" s="1" t="n">
        <v>45638</v>
      </c>
      <c r="C592" s="1" t="n">
        <v>46200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58043-2025</t>
        </is>
      </c>
      <c r="B593" s="1" t="n">
        <v>45982</v>
      </c>
      <c r="C593" s="1" t="n">
        <v>46200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61802-2024</t>
        </is>
      </c>
      <c r="B594" s="1" t="n">
        <v>45649</v>
      </c>
      <c r="C594" s="1" t="n">
        <v>46200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14973-2025</t>
        </is>
      </c>
      <c r="B595" s="1" t="n">
        <v>45743</v>
      </c>
      <c r="C595" s="1" t="n">
        <v>46200</v>
      </c>
      <c r="D595" t="inlineStr">
        <is>
          <t>KALMAR LÄN</t>
        </is>
      </c>
      <c r="E595" t="inlineStr">
        <is>
          <t>HULTSFRED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3729-2024</t>
        </is>
      </c>
      <c r="B596" s="1" t="n">
        <v>45321</v>
      </c>
      <c r="C596" s="1" t="n">
        <v>46200</v>
      </c>
      <c r="D596" t="inlineStr">
        <is>
          <t>KALMAR LÄN</t>
        </is>
      </c>
      <c r="E596" t="inlineStr">
        <is>
          <t>HULTSFRED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59235-2024</t>
        </is>
      </c>
      <c r="B597" s="1" t="n">
        <v>45637</v>
      </c>
      <c r="C597" s="1" t="n">
        <v>46200</v>
      </c>
      <c r="D597" t="inlineStr">
        <is>
          <t>KALMAR LÄN</t>
        </is>
      </c>
      <c r="E597" t="inlineStr">
        <is>
          <t>HULTSFRED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37161-2024</t>
        </is>
      </c>
      <c r="B598" s="1" t="n">
        <v>45539</v>
      </c>
      <c r="C598" s="1" t="n">
        <v>46200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25549-2025</t>
        </is>
      </c>
      <c r="B599" s="1" t="n">
        <v>45803</v>
      </c>
      <c r="C599" s="1" t="n">
        <v>46200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25550-2025</t>
        </is>
      </c>
      <c r="B600" s="1" t="n">
        <v>45803</v>
      </c>
      <c r="C600" s="1" t="n">
        <v>46200</v>
      </c>
      <c r="D600" t="inlineStr">
        <is>
          <t>KALMAR LÄN</t>
        </is>
      </c>
      <c r="E600" t="inlineStr">
        <is>
          <t>HULTSFRED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60435-2025</t>
        </is>
      </c>
      <c r="B601" s="1" t="n">
        <v>45995</v>
      </c>
      <c r="C601" s="1" t="n">
        <v>46200</v>
      </c>
      <c r="D601" t="inlineStr">
        <is>
          <t>KALMAR LÄN</t>
        </is>
      </c>
      <c r="E601" t="inlineStr">
        <is>
          <t>HULTSFRED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60792-2025</t>
        </is>
      </c>
      <c r="B602" s="1" t="n">
        <v>45999</v>
      </c>
      <c r="C602" s="1" t="n">
        <v>46200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60797-2025</t>
        </is>
      </c>
      <c r="B603" s="1" t="n">
        <v>45999</v>
      </c>
      <c r="C603" s="1" t="n">
        <v>46200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62043-2025</t>
        </is>
      </c>
      <c r="B604" s="1" t="n">
        <v>46005</v>
      </c>
      <c r="C604" s="1" t="n">
        <v>46200</v>
      </c>
      <c r="D604" t="inlineStr">
        <is>
          <t>KALMAR LÄN</t>
        </is>
      </c>
      <c r="E604" t="inlineStr">
        <is>
          <t>HULTSFRED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63153-2025</t>
        </is>
      </c>
      <c r="B605" s="1" t="n">
        <v>46010</v>
      </c>
      <c r="C605" s="1" t="n">
        <v>46200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63935-2025</t>
        </is>
      </c>
      <c r="B606" s="1" t="n">
        <v>46020</v>
      </c>
      <c r="C606" s="1" t="n">
        <v>46200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2265-2026</t>
        </is>
      </c>
      <c r="B607" s="1" t="n">
        <v>46034</v>
      </c>
      <c r="C607" s="1" t="n">
        <v>46200</v>
      </c>
      <c r="D607" t="inlineStr">
        <is>
          <t>KALMAR LÄN</t>
        </is>
      </c>
      <c r="E607" t="inlineStr">
        <is>
          <t>HULTSFRED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1507-2026</t>
        </is>
      </c>
      <c r="B608" s="1" t="n">
        <v>46034</v>
      </c>
      <c r="C608" s="1" t="n">
        <v>46200</v>
      </c>
      <c r="D608" t="inlineStr">
        <is>
          <t>KALMAR LÄN</t>
        </is>
      </c>
      <c r="E608" t="inlineStr">
        <is>
          <t>HULTSFRED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1499-2026</t>
        </is>
      </c>
      <c r="B609" s="1" t="n">
        <v>46034</v>
      </c>
      <c r="C609" s="1" t="n">
        <v>46200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1852-2026</t>
        </is>
      </c>
      <c r="B610" s="1" t="n">
        <v>46035</v>
      </c>
      <c r="C610" s="1" t="n">
        <v>46200</v>
      </c>
      <c r="D610" t="inlineStr">
        <is>
          <t>KALMAR LÄN</t>
        </is>
      </c>
      <c r="E610" t="inlineStr">
        <is>
          <t>HULTSFRED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1423-2026</t>
        </is>
      </c>
      <c r="B611" s="1" t="n">
        <v>46031</v>
      </c>
      <c r="C611" s="1" t="n">
        <v>46200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1560-2026</t>
        </is>
      </c>
      <c r="B612" s="1" t="n">
        <v>46034</v>
      </c>
      <c r="C612" s="1" t="n">
        <v>46200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3891-2026</t>
        </is>
      </c>
      <c r="B613" s="1" t="n">
        <v>46043</v>
      </c>
      <c r="C613" s="1" t="n">
        <v>46200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3874-2026</t>
        </is>
      </c>
      <c r="B614" s="1" t="n">
        <v>46043</v>
      </c>
      <c r="C614" s="1" t="n">
        <v>46200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3873-2026</t>
        </is>
      </c>
      <c r="B615" s="1" t="n">
        <v>46043</v>
      </c>
      <c r="C615" s="1" t="n">
        <v>46200</v>
      </c>
      <c r="D615" t="inlineStr">
        <is>
          <t>KALMAR LÄN</t>
        </is>
      </c>
      <c r="E615" t="inlineStr">
        <is>
          <t>HULTSFRED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4113-2026</t>
        </is>
      </c>
      <c r="B616" s="1" t="n">
        <v>46044</v>
      </c>
      <c r="C616" s="1" t="n">
        <v>46200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4121-2026</t>
        </is>
      </c>
      <c r="B617" s="1" t="n">
        <v>46044</v>
      </c>
      <c r="C617" s="1" t="n">
        <v>46200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4116-2026</t>
        </is>
      </c>
      <c r="B618" s="1" t="n">
        <v>46044</v>
      </c>
      <c r="C618" s="1" t="n">
        <v>46200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4083-2026</t>
        </is>
      </c>
      <c r="B619" s="1" t="n">
        <v>46044</v>
      </c>
      <c r="C619" s="1" t="n">
        <v>46200</v>
      </c>
      <c r="D619" t="inlineStr">
        <is>
          <t>KALMAR LÄN</t>
        </is>
      </c>
      <c r="E619" t="inlineStr">
        <is>
          <t>HULTSFRED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4940-2026</t>
        </is>
      </c>
      <c r="B620" s="1" t="n">
        <v>46048</v>
      </c>
      <c r="C620" s="1" t="n">
        <v>46200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4941-2026</t>
        </is>
      </c>
      <c r="B621" s="1" t="n">
        <v>46048</v>
      </c>
      <c r="C621" s="1" t="n">
        <v>46200</v>
      </c>
      <c r="D621" t="inlineStr">
        <is>
          <t>KALMAR LÄN</t>
        </is>
      </c>
      <c r="E621" t="inlineStr">
        <is>
          <t>HULTSFRED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4938-2026</t>
        </is>
      </c>
      <c r="B622" s="1" t="n">
        <v>46048</v>
      </c>
      <c r="C622" s="1" t="n">
        <v>46200</v>
      </c>
      <c r="D622" t="inlineStr">
        <is>
          <t>KALMAR LÄN</t>
        </is>
      </c>
      <c r="E622" t="inlineStr">
        <is>
          <t>HULTSFRED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4939-2026</t>
        </is>
      </c>
      <c r="B623" s="1" t="n">
        <v>46048</v>
      </c>
      <c r="C623" s="1" t="n">
        <v>46200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5565-2026</t>
        </is>
      </c>
      <c r="B624" s="1" t="n">
        <v>46050</v>
      </c>
      <c r="C624" s="1" t="n">
        <v>46200</v>
      </c>
      <c r="D624" t="inlineStr">
        <is>
          <t>KALMAR LÄN</t>
        </is>
      </c>
      <c r="E624" t="inlineStr">
        <is>
          <t>HULTSFRED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5564-2026</t>
        </is>
      </c>
      <c r="B625" s="1" t="n">
        <v>46050</v>
      </c>
      <c r="C625" s="1" t="n">
        <v>46200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5566-2026</t>
        </is>
      </c>
      <c r="B626" s="1" t="n">
        <v>46050</v>
      </c>
      <c r="C626" s="1" t="n">
        <v>46200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6028-2026</t>
        </is>
      </c>
      <c r="B627" s="1" t="n">
        <v>46052</v>
      </c>
      <c r="C627" s="1" t="n">
        <v>46200</v>
      </c>
      <c r="D627" t="inlineStr">
        <is>
          <t>KALMAR LÄN</t>
        </is>
      </c>
      <c r="E627" t="inlineStr">
        <is>
          <t>HULTSFRED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7306-2026</t>
        </is>
      </c>
      <c r="B628" s="1" t="n">
        <v>46058</v>
      </c>
      <c r="C628" s="1" t="n">
        <v>46200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7208-2026</t>
        </is>
      </c>
      <c r="B629" s="1" t="n">
        <v>46058</v>
      </c>
      <c r="C629" s="1" t="n">
        <v>46200</v>
      </c>
      <c r="D629" t="inlineStr">
        <is>
          <t>KALMAR LÄN</t>
        </is>
      </c>
      <c r="E629" t="inlineStr">
        <is>
          <t>HULTSFRED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7226-2026</t>
        </is>
      </c>
      <c r="B630" s="1" t="n">
        <v>46058</v>
      </c>
      <c r="C630" s="1" t="n">
        <v>46200</v>
      </c>
      <c r="D630" t="inlineStr">
        <is>
          <t>KALMAR LÄN</t>
        </is>
      </c>
      <c r="E630" t="inlineStr">
        <is>
          <t>HULTSFRED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7330-2026</t>
        </is>
      </c>
      <c r="B631" s="1" t="n">
        <v>46058</v>
      </c>
      <c r="C631" s="1" t="n">
        <v>46200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7794-2026</t>
        </is>
      </c>
      <c r="B632" s="1" t="n">
        <v>46062</v>
      </c>
      <c r="C632" s="1" t="n">
        <v>46200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8025-2026</t>
        </is>
      </c>
      <c r="B633" s="1" t="n">
        <v>46063</v>
      </c>
      <c r="C633" s="1" t="n">
        <v>46200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8115-2026</t>
        </is>
      </c>
      <c r="B634" s="1" t="n">
        <v>46062</v>
      </c>
      <c r="C634" s="1" t="n">
        <v>46200</v>
      </c>
      <c r="D634" t="inlineStr">
        <is>
          <t>KALMAR LÄN</t>
        </is>
      </c>
      <c r="E634" t="inlineStr">
        <is>
          <t>HULTSFRED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8444-2026</t>
        </is>
      </c>
      <c r="B635" s="1" t="n">
        <v>46065</v>
      </c>
      <c r="C635" s="1" t="n">
        <v>46200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8443-2026</t>
        </is>
      </c>
      <c r="B636" s="1" t="n">
        <v>46065</v>
      </c>
      <c r="C636" s="1" t="n">
        <v>46200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8759-2026</t>
        </is>
      </c>
      <c r="B637" s="1" t="n">
        <v>46066</v>
      </c>
      <c r="C637" s="1" t="n">
        <v>46200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8641-2026</t>
        </is>
      </c>
      <c r="B638" s="1" t="n">
        <v>46066</v>
      </c>
      <c r="C638" s="1" t="n">
        <v>46200</v>
      </c>
      <c r="D638" t="inlineStr">
        <is>
          <t>KALMAR LÄN</t>
        </is>
      </c>
      <c r="E638" t="inlineStr">
        <is>
          <t>HULTSFRED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10227-2026</t>
        </is>
      </c>
      <c r="B639" s="1" t="n">
        <v>46076</v>
      </c>
      <c r="C639" s="1" t="n">
        <v>46200</v>
      </c>
      <c r="D639" t="inlineStr">
        <is>
          <t>KALMAR LÄN</t>
        </is>
      </c>
      <c r="E639" t="inlineStr">
        <is>
          <t>HULTSFRED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11010-2026</t>
        </is>
      </c>
      <c r="B640" s="1" t="n">
        <v>46078</v>
      </c>
      <c r="C640" s="1" t="n">
        <v>46200</v>
      </c>
      <c r="D640" t="inlineStr">
        <is>
          <t>KALMAR LÄN</t>
        </is>
      </c>
      <c r="E640" t="inlineStr">
        <is>
          <t>HULTSFRED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10229-2026</t>
        </is>
      </c>
      <c r="B641" s="1" t="n">
        <v>46076</v>
      </c>
      <c r="C641" s="1" t="n">
        <v>46200</v>
      </c>
      <c r="D641" t="inlineStr">
        <is>
          <t>KALMAR LÄN</t>
        </is>
      </c>
      <c r="E641" t="inlineStr">
        <is>
          <t>HULTSFRED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11412-2026</t>
        </is>
      </c>
      <c r="B642" s="1" t="n">
        <v>46083</v>
      </c>
      <c r="C642" s="1" t="n">
        <v>46200</v>
      </c>
      <c r="D642" t="inlineStr">
        <is>
          <t>KALMAR LÄN</t>
        </is>
      </c>
      <c r="E642" t="inlineStr">
        <is>
          <t>HULTSFRED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15153-2026</t>
        </is>
      </c>
      <c r="B643" s="1" t="n">
        <v>46105</v>
      </c>
      <c r="C643" s="1" t="n">
        <v>46200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16281-2026</t>
        </is>
      </c>
      <c r="B644" s="1" t="n">
        <v>46111</v>
      </c>
      <c r="C644" s="1" t="n">
        <v>46200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16466-2026</t>
        </is>
      </c>
      <c r="B645" s="1" t="n">
        <v>46112</v>
      </c>
      <c r="C645" s="1" t="n">
        <v>46200</v>
      </c>
      <c r="D645" t="inlineStr">
        <is>
          <t>KALMAR LÄN</t>
        </is>
      </c>
      <c r="E645" t="inlineStr">
        <is>
          <t>HULTSFRED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16287-2026</t>
        </is>
      </c>
      <c r="B646" s="1" t="n">
        <v>46111</v>
      </c>
      <c r="C646" s="1" t="n">
        <v>46200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23301-2026</t>
        </is>
      </c>
      <c r="B647" s="1" t="n">
        <v>46162</v>
      </c>
      <c r="C647" s="1" t="n">
        <v>46200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32770-2021</t>
        </is>
      </c>
      <c r="B648" s="1" t="n">
        <v>44375</v>
      </c>
      <c r="C648" s="1" t="n">
        <v>46200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24775-2026</t>
        </is>
      </c>
      <c r="B649" s="1" t="n">
        <v>46171</v>
      </c>
      <c r="C649" s="1" t="n">
        <v>46200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24331-2026</t>
        </is>
      </c>
      <c r="B650" s="1" t="n">
        <v>46169</v>
      </c>
      <c r="C650" s="1" t="n">
        <v>46200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24478-2026</t>
        </is>
      </c>
      <c r="B651" s="1" t="n">
        <v>46170</v>
      </c>
      <c r="C651" s="1" t="n">
        <v>46200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24477-2026</t>
        </is>
      </c>
      <c r="B652" s="1" t="n">
        <v>46170</v>
      </c>
      <c r="C652" s="1" t="n">
        <v>46200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24270-2026</t>
        </is>
      </c>
      <c r="B653" s="1" t="n">
        <v>46169</v>
      </c>
      <c r="C653" s="1" t="n">
        <v>46200</v>
      </c>
      <c r="D653" t="inlineStr">
        <is>
          <t>KALMAR LÄN</t>
        </is>
      </c>
      <c r="E653" t="inlineStr">
        <is>
          <t>HULTSFRED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24774-2026</t>
        </is>
      </c>
      <c r="B654" s="1" t="n">
        <v>46171</v>
      </c>
      <c r="C654" s="1" t="n">
        <v>46200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24637-2026</t>
        </is>
      </c>
      <c r="B655" s="1" t="n">
        <v>46171</v>
      </c>
      <c r="C655" s="1" t="n">
        <v>46200</v>
      </c>
      <c r="D655" t="inlineStr">
        <is>
          <t>KALMAR LÄN</t>
        </is>
      </c>
      <c r="E655" t="inlineStr">
        <is>
          <t>HULTSFRED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24330-2026</t>
        </is>
      </c>
      <c r="B656" s="1" t="n">
        <v>46169</v>
      </c>
      <c r="C656" s="1" t="n">
        <v>46200</v>
      </c>
      <c r="D656" t="inlineStr">
        <is>
          <t>KALMAR LÄN</t>
        </is>
      </c>
      <c r="E656" t="inlineStr">
        <is>
          <t>HULTSFRED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24332-2026</t>
        </is>
      </c>
      <c r="B657" s="1" t="n">
        <v>46169</v>
      </c>
      <c r="C657" s="1" t="n">
        <v>46200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24328-2026</t>
        </is>
      </c>
      <c r="B658" s="1" t="n">
        <v>46169</v>
      </c>
      <c r="C658" s="1" t="n">
        <v>46200</v>
      </c>
      <c r="D658" t="inlineStr">
        <is>
          <t>KALMAR LÄN</t>
        </is>
      </c>
      <c r="E658" t="inlineStr">
        <is>
          <t>HULTSFRED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25153-2026</t>
        </is>
      </c>
      <c r="B659" s="1" t="n">
        <v>46175</v>
      </c>
      <c r="C659" s="1" t="n">
        <v>46200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25183-2026</t>
        </is>
      </c>
      <c r="B660" s="1" t="n">
        <v>46175</v>
      </c>
      <c r="C660" s="1" t="n">
        <v>46200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25189-2026</t>
        </is>
      </c>
      <c r="B661" s="1" t="n">
        <v>46175</v>
      </c>
      <c r="C661" s="1" t="n">
        <v>46200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24836-2026</t>
        </is>
      </c>
      <c r="B662" s="1" t="n">
        <v>46174</v>
      </c>
      <c r="C662" s="1" t="n">
        <v>46200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25157-2026</t>
        </is>
      </c>
      <c r="B663" s="1" t="n">
        <v>46175</v>
      </c>
      <c r="C663" s="1" t="n">
        <v>46200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25354-2026</t>
        </is>
      </c>
      <c r="B664" s="1" t="n">
        <v>46176</v>
      </c>
      <c r="C664" s="1" t="n">
        <v>46200</v>
      </c>
      <c r="D664" t="inlineStr">
        <is>
          <t>KALMAR LÄN</t>
        </is>
      </c>
      <c r="E664" t="inlineStr">
        <is>
          <t>HULTSFRED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42859-2025</t>
        </is>
      </c>
      <c r="B665" s="1" t="n">
        <v>45908</v>
      </c>
      <c r="C665" s="1" t="n">
        <v>46200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25360-2026</t>
        </is>
      </c>
      <c r="B666" s="1" t="n">
        <v>46176</v>
      </c>
      <c r="C666" s="1" t="n">
        <v>46200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31783-2025</t>
        </is>
      </c>
      <c r="B667" s="1" t="n">
        <v>45834</v>
      </c>
      <c r="C667" s="1" t="n">
        <v>46200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20052-2026</t>
        </is>
      </c>
      <c r="B668" s="1" t="n">
        <v>46136</v>
      </c>
      <c r="C668" s="1" t="n">
        <v>46200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15636-2025</t>
        </is>
      </c>
      <c r="B669" s="1" t="n">
        <v>45748</v>
      </c>
      <c r="C669" s="1" t="n">
        <v>46200</v>
      </c>
      <c r="D669" t="inlineStr">
        <is>
          <t>KALMAR LÄN</t>
        </is>
      </c>
      <c r="E669" t="inlineStr">
        <is>
          <t>HULTSFRED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49881-2025</t>
        </is>
      </c>
      <c r="B670" s="1" t="n">
        <v>45940</v>
      </c>
      <c r="C670" s="1" t="n">
        <v>46200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26074-2026</t>
        </is>
      </c>
      <c r="B671" s="1" t="n">
        <v>46181</v>
      </c>
      <c r="C671" s="1" t="n">
        <v>46200</v>
      </c>
      <c r="D671" t="inlineStr">
        <is>
          <t>KALMAR LÄN</t>
        </is>
      </c>
      <c r="E671" t="inlineStr">
        <is>
          <t>HULTSFRED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50334-2023</t>
        </is>
      </c>
      <c r="B672" s="1" t="n">
        <v>45216</v>
      </c>
      <c r="C672" s="1" t="n">
        <v>46200</v>
      </c>
      <c r="D672" t="inlineStr">
        <is>
          <t>KALMAR LÄN</t>
        </is>
      </c>
      <c r="E672" t="inlineStr">
        <is>
          <t>HULTSFRED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30674-2025</t>
        </is>
      </c>
      <c r="B673" s="1" t="n">
        <v>45831</v>
      </c>
      <c r="C673" s="1" t="n">
        <v>46200</v>
      </c>
      <c r="D673" t="inlineStr">
        <is>
          <t>KALMAR LÄN</t>
        </is>
      </c>
      <c r="E673" t="inlineStr">
        <is>
          <t>HULTSFRED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25995-2026</t>
        </is>
      </c>
      <c r="B674" s="1" t="n">
        <v>46181</v>
      </c>
      <c r="C674" s="1" t="n">
        <v>46200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62721-2025</t>
        </is>
      </c>
      <c r="B675" s="1" t="n">
        <v>46008</v>
      </c>
      <c r="C675" s="1" t="n">
        <v>46200</v>
      </c>
      <c r="D675" t="inlineStr">
        <is>
          <t>KALMAR LÄN</t>
        </is>
      </c>
      <c r="E675" t="inlineStr">
        <is>
          <t>HULTSFRED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21642-2025</t>
        </is>
      </c>
      <c r="B676" s="1" t="n">
        <v>45783</v>
      </c>
      <c r="C676" s="1" t="n">
        <v>46200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5643-2026</t>
        </is>
      </c>
      <c r="B677" s="1" t="n">
        <v>46051</v>
      </c>
      <c r="C677" s="1" t="n">
        <v>46200</v>
      </c>
      <c r="D677" t="inlineStr">
        <is>
          <t>KALMAR LÄN</t>
        </is>
      </c>
      <c r="E677" t="inlineStr">
        <is>
          <t>HULTSFRED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30281-2025</t>
        </is>
      </c>
      <c r="B678" s="1" t="n">
        <v>45827</v>
      </c>
      <c r="C678" s="1" t="n">
        <v>46200</v>
      </c>
      <c r="D678" t="inlineStr">
        <is>
          <t>KALMAR LÄN</t>
        </is>
      </c>
      <c r="E678" t="inlineStr">
        <is>
          <t>HULTSFRED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44806-2025</t>
        </is>
      </c>
      <c r="B679" s="1" t="n">
        <v>45918</v>
      </c>
      <c r="C679" s="1" t="n">
        <v>46200</v>
      </c>
      <c r="D679" t="inlineStr">
        <is>
          <t>KALMAR LÄN</t>
        </is>
      </c>
      <c r="E679" t="inlineStr">
        <is>
          <t>HULTSFRED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62717-2025</t>
        </is>
      </c>
      <c r="B680" s="1" t="n">
        <v>46008</v>
      </c>
      <c r="C680" s="1" t="n">
        <v>46200</v>
      </c>
      <c r="D680" t="inlineStr">
        <is>
          <t>KALMAR LÄN</t>
        </is>
      </c>
      <c r="E680" t="inlineStr">
        <is>
          <t>HULTSFRED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49481-2025</t>
        </is>
      </c>
      <c r="B681" s="1" t="n">
        <v>45939</v>
      </c>
      <c r="C681" s="1" t="n">
        <v>46200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33958-2025</t>
        </is>
      </c>
      <c r="B682" s="1" t="n">
        <v>45842</v>
      </c>
      <c r="C682" s="1" t="n">
        <v>46200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45865-2025</t>
        </is>
      </c>
      <c r="B683" s="1" t="n">
        <v>45923</v>
      </c>
      <c r="C683" s="1" t="n">
        <v>46200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39422-2025</t>
        </is>
      </c>
      <c r="B684" s="1" t="n">
        <v>45889</v>
      </c>
      <c r="C684" s="1" t="n">
        <v>46200</v>
      </c>
      <c r="D684" t="inlineStr">
        <is>
          <t>KALMAR LÄN</t>
        </is>
      </c>
      <c r="E684" t="inlineStr">
        <is>
          <t>HULTSFRED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29728-2025</t>
        </is>
      </c>
      <c r="B685" s="1" t="n">
        <v>45825</v>
      </c>
      <c r="C685" s="1" t="n">
        <v>46200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27304-2025</t>
        </is>
      </c>
      <c r="B686" s="1" t="n">
        <v>45812</v>
      </c>
      <c r="C686" s="1" t="n">
        <v>46200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28575-2025</t>
        </is>
      </c>
      <c r="B687" s="1" t="n">
        <v>45819</v>
      </c>
      <c r="C687" s="1" t="n">
        <v>46200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45831-2025</t>
        </is>
      </c>
      <c r="B688" s="1" t="n">
        <v>45923</v>
      </c>
      <c r="C688" s="1" t="n">
        <v>46200</v>
      </c>
      <c r="D688" t="inlineStr">
        <is>
          <t>KALMAR LÄN</t>
        </is>
      </c>
      <c r="E688" t="inlineStr">
        <is>
          <t>HULTSFRED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45834-2025</t>
        </is>
      </c>
      <c r="B689" s="1" t="n">
        <v>45923</v>
      </c>
      <c r="C689" s="1" t="n">
        <v>46200</v>
      </c>
      <c r="D689" t="inlineStr">
        <is>
          <t>KALMAR LÄN</t>
        </is>
      </c>
      <c r="E689" t="inlineStr">
        <is>
          <t>HULTSFRED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47726-2025</t>
        </is>
      </c>
      <c r="B690" s="1" t="n">
        <v>45931</v>
      </c>
      <c r="C690" s="1" t="n">
        <v>46200</v>
      </c>
      <c r="D690" t="inlineStr">
        <is>
          <t>KALMAR LÄN</t>
        </is>
      </c>
      <c r="E690" t="inlineStr">
        <is>
          <t>HULTSFRED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48806-2025</t>
        </is>
      </c>
      <c r="B691" s="1" t="n">
        <v>45937</v>
      </c>
      <c r="C691" s="1" t="n">
        <v>46200</v>
      </c>
      <c r="D691" t="inlineStr">
        <is>
          <t>KALMAR LÄN</t>
        </is>
      </c>
      <c r="E691" t="inlineStr">
        <is>
          <t>HULTSFRED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19117-2024</t>
        </is>
      </c>
      <c r="B692" s="1" t="n">
        <v>45427</v>
      </c>
      <c r="C692" s="1" t="n">
        <v>46200</v>
      </c>
      <c r="D692" t="inlineStr">
        <is>
          <t>KALMAR LÄN</t>
        </is>
      </c>
      <c r="E692" t="inlineStr">
        <is>
          <t>HULTSFRED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27537-2025</t>
        </is>
      </c>
      <c r="B693" s="1" t="n">
        <v>45813</v>
      </c>
      <c r="C693" s="1" t="n">
        <v>46200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26517-2026</t>
        </is>
      </c>
      <c r="B694" s="1" t="n">
        <v>46183</v>
      </c>
      <c r="C694" s="1" t="n">
        <v>46200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22645-2023</t>
        </is>
      </c>
      <c r="B695" s="1" t="n">
        <v>45071</v>
      </c>
      <c r="C695" s="1" t="n">
        <v>46200</v>
      </c>
      <c r="D695" t="inlineStr">
        <is>
          <t>KALMAR LÄN</t>
        </is>
      </c>
      <c r="E695" t="inlineStr">
        <is>
          <t>HULTSFRED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7210-2025</t>
        </is>
      </c>
      <c r="B696" s="1" t="n">
        <v>45702</v>
      </c>
      <c r="C696" s="1" t="n">
        <v>46200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26339-2026</t>
        </is>
      </c>
      <c r="B697" s="1" t="n">
        <v>46182</v>
      </c>
      <c r="C697" s="1" t="n">
        <v>46200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26329-2026</t>
        </is>
      </c>
      <c r="B698" s="1" t="n">
        <v>46182</v>
      </c>
      <c r="C698" s="1" t="n">
        <v>46200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26469-2026</t>
        </is>
      </c>
      <c r="B699" s="1" t="n">
        <v>46183</v>
      </c>
      <c r="C699" s="1" t="n">
        <v>46200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26476-2026</t>
        </is>
      </c>
      <c r="B700" s="1" t="n">
        <v>46183</v>
      </c>
      <c r="C700" s="1" t="n">
        <v>46200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26309-2026</t>
        </is>
      </c>
      <c r="B701" s="1" t="n">
        <v>46182</v>
      </c>
      <c r="C701" s="1" t="n">
        <v>46200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26461-2026</t>
        </is>
      </c>
      <c r="B702" s="1" t="n">
        <v>46183</v>
      </c>
      <c r="C702" s="1" t="n">
        <v>46200</v>
      </c>
      <c r="D702" t="inlineStr">
        <is>
          <t>KALMAR LÄN</t>
        </is>
      </c>
      <c r="E702" t="inlineStr">
        <is>
          <t>HULTSFRED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27013-2026</t>
        </is>
      </c>
      <c r="B703" s="1" t="n">
        <v>46185</v>
      </c>
      <c r="C703" s="1" t="n">
        <v>46200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26579-2026</t>
        </is>
      </c>
      <c r="B704" s="1" t="n">
        <v>46183</v>
      </c>
      <c r="C704" s="1" t="n">
        <v>46200</v>
      </c>
      <c r="D704" t="inlineStr">
        <is>
          <t>KALMAR LÄN</t>
        </is>
      </c>
      <c r="E704" t="inlineStr">
        <is>
          <t>HULTSFRED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26488-2026</t>
        </is>
      </c>
      <c r="B705" s="1" t="n">
        <v>46183</v>
      </c>
      <c r="C705" s="1" t="n">
        <v>46200</v>
      </c>
      <c r="D705" t="inlineStr">
        <is>
          <t>KALMAR LÄN</t>
        </is>
      </c>
      <c r="E705" t="inlineStr">
        <is>
          <t>HULTSFRED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27293-2026</t>
        </is>
      </c>
      <c r="B706" s="1" t="n">
        <v>46184</v>
      </c>
      <c r="C706" s="1" t="n">
        <v>46200</v>
      </c>
      <c r="D706" t="inlineStr">
        <is>
          <t>KALMAR LÄN</t>
        </is>
      </c>
      <c r="E706" t="inlineStr">
        <is>
          <t>HULTSFRED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27309-2026</t>
        </is>
      </c>
      <c r="B707" s="1" t="n">
        <v>46184</v>
      </c>
      <c r="C707" s="1" t="n">
        <v>46200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27524-2026</t>
        </is>
      </c>
      <c r="B708" s="1" t="n">
        <v>46185</v>
      </c>
      <c r="C708" s="1" t="n">
        <v>46200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27196-2026</t>
        </is>
      </c>
      <c r="B709" s="1" t="n">
        <v>46188</v>
      </c>
      <c r="C709" s="1" t="n">
        <v>46200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27279-2026</t>
        </is>
      </c>
      <c r="B710" s="1" t="n">
        <v>46184</v>
      </c>
      <c r="C710" s="1" t="n">
        <v>46200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32783-2021</t>
        </is>
      </c>
      <c r="B711" s="1" t="n">
        <v>44375</v>
      </c>
      <c r="C711" s="1" t="n">
        <v>46200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27972-2026</t>
        </is>
      </c>
      <c r="B712" s="1" t="n">
        <v>46195</v>
      </c>
      <c r="C712" s="1" t="n">
        <v>46200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27977-2026</t>
        </is>
      </c>
      <c r="B713" s="1" t="n">
        <v>46195</v>
      </c>
      <c r="C713" s="1" t="n">
        <v>46200</v>
      </c>
      <c r="D713" t="inlineStr">
        <is>
          <t>KALMAR LÄN</t>
        </is>
      </c>
      <c r="E713" t="inlineStr">
        <is>
          <t>HULTSFRED</t>
        </is>
      </c>
      <c r="F713" t="inlineStr">
        <is>
          <t>Kyrkan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22232-2026</t>
        </is>
      </c>
      <c r="B714" s="1" t="n">
        <v>46153</v>
      </c>
      <c r="C714" s="1" t="n">
        <v>46200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22234-2026</t>
        </is>
      </c>
      <c r="B715" s="1" t="n">
        <v>46153</v>
      </c>
      <c r="C715" s="1" t="n">
        <v>46200</v>
      </c>
      <c r="D715" t="inlineStr">
        <is>
          <t>KALMAR LÄN</t>
        </is>
      </c>
      <c r="E715" t="inlineStr">
        <is>
          <t>HULTSFRED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62044-2025</t>
        </is>
      </c>
      <c r="B716" s="1" t="n">
        <v>46005</v>
      </c>
      <c r="C716" s="1" t="n">
        <v>46200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28288-2026</t>
        </is>
      </c>
      <c r="B717" s="1" t="n">
        <v>46196</v>
      </c>
      <c r="C717" s="1" t="n">
        <v>46200</v>
      </c>
      <c r="D717" t="inlineStr">
        <is>
          <t>KALMAR LÄN</t>
        </is>
      </c>
      <c r="E717" t="inlineStr">
        <is>
          <t>HULTSFRED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28290-2026</t>
        </is>
      </c>
      <c r="B718" s="1" t="n">
        <v>46196</v>
      </c>
      <c r="C718" s="1" t="n">
        <v>46200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15270-2025</t>
        </is>
      </c>
      <c r="B719" s="1" t="n">
        <v>45744</v>
      </c>
      <c r="C719" s="1" t="n">
        <v>46200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2026-06-27T00:55:47Z</dcterms:created>
  <dcterms:modified xmlns:dcterms="http://purl.org/dc/terms/" xmlns:xsi="http://www.w3.org/2001/XMLSchema-instance" xsi:type="dcterms:W3CDTF">2026-06-27T00:55:47Z</dcterms:modified>
</cp:coreProperties>
</file>