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45711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45711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45711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45711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45711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45711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45711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45711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45711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45711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45711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45711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45711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45711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45711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45711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45711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45711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45711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45711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45711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45711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45711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45711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45711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45711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45711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45711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45711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45711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45711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45711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45711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45711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45711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45711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45711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45711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45711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45711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45711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45711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45711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45711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45711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45711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45711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45711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45711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45711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45711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45711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45711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45711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45711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45711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45711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45711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45711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45711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45711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45711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45711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45711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45711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45711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45711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45711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45711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45711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45711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45711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45711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45711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45711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45711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45711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45711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45711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45711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45711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45711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45711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45711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45711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45711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45711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45711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45711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45711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45711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45711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45711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45711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45711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45711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45711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45711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45711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45711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45711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45711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45711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45711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45711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45711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45711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45711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4963-2025</t>
        </is>
      </c>
      <c r="B120" s="1" t="n">
        <v>45690</v>
      </c>
      <c r="C120" s="1" t="n">
        <v>45711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5.1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4963-2025 artfynd.xlsx", "A 4963-2025")</f>
        <v/>
      </c>
      <c r="T120">
        <f>HYPERLINK("https://klasma.github.io/Logging_0860/kartor/A 4963-2025 karta.png", "A 4963-2025")</f>
        <v/>
      </c>
      <c r="V120">
        <f>HYPERLINK("https://klasma.github.io/Logging_0860/klagomål/A 4963-2025 FSC-klagomål.docx", "A 4963-2025")</f>
        <v/>
      </c>
      <c r="W120">
        <f>HYPERLINK("https://klasma.github.io/Logging_0860/klagomålsmail/A 4963-2025 FSC-klagomål mail.docx", "A 4963-2025")</f>
        <v/>
      </c>
      <c r="X120">
        <f>HYPERLINK("https://klasma.github.io/Logging_0860/tillsyn/A 4963-2025 tillsynsbegäran.docx", "A 4963-2025")</f>
        <v/>
      </c>
      <c r="Y120">
        <f>HYPERLINK("https://klasma.github.io/Logging_0860/tillsynsmail/A 4963-2025 tillsynsbegäran mail.docx", "A 4963-2025")</f>
        <v/>
      </c>
      <c r="Z120">
        <f>HYPERLINK("https://klasma.github.io/Logging_0860/fåglar/A 4963-2025 prioriterade fågelarter.docx", "A 4963-2025")</f>
        <v/>
      </c>
    </row>
    <row r="121" ht="15" customHeight="1">
      <c r="A121" t="inlineStr">
        <is>
          <t>A 4964-2025</t>
        </is>
      </c>
      <c r="B121" s="1" t="n">
        <v>45690</v>
      </c>
      <c r="C121" s="1" t="n">
        <v>45711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12.2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4964-2025 artfynd.xlsx", "A 4964-2025")</f>
        <v/>
      </c>
      <c r="T121">
        <f>HYPERLINK("https://klasma.github.io/Logging_0860/kartor/A 4964-2025 karta.png", "A 4964-2025")</f>
        <v/>
      </c>
      <c r="V121">
        <f>HYPERLINK("https://klasma.github.io/Logging_0860/klagomål/A 4964-2025 FSC-klagomål.docx", "A 4964-2025")</f>
        <v/>
      </c>
      <c r="W121">
        <f>HYPERLINK("https://klasma.github.io/Logging_0860/klagomålsmail/A 4964-2025 FSC-klagomål mail.docx", "A 4964-2025")</f>
        <v/>
      </c>
      <c r="X121">
        <f>HYPERLINK("https://klasma.github.io/Logging_0860/tillsyn/A 4964-2025 tillsynsbegäran.docx", "A 4964-2025")</f>
        <v/>
      </c>
      <c r="Y121">
        <f>HYPERLINK("https://klasma.github.io/Logging_0860/tillsynsmail/A 4964-2025 tillsynsbegäran mail.docx", "A 4964-2025")</f>
        <v/>
      </c>
      <c r="Z121">
        <f>HYPERLINK("https://klasma.github.io/Logging_0860/fåglar/A 4964-2025 prioriterade fågelarter.docx", "A 4964-2025")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45711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45711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45711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45711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45711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45711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45711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45711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45711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45711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45711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45711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45711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45711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45711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45711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45711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45711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45711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45711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45711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45711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45711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45711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45711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45711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45711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45711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45711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45711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45711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45711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45711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45711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45711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45711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45711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45711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45711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45711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45711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45711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45711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45711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45711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45711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45711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45711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45711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45711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45711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45711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45711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45711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45711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45711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45711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45711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45711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45711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45711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45711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45711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45711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45711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45711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45711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45711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45711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45711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45711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45711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45711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45711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45711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45711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45711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45711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45711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45711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45711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45711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45711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45711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45711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45711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45711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45711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45711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45711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45711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45711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45711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45711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45711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45711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45711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45711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45711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45711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45711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45711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45711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45711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45711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45711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45711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45711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45711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45711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45711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45711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45711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45711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45711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45711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45711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45711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45711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45711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45711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45711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45711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45711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45711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45711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45711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45711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45711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45711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45711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45711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45711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45711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45711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45711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45711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45711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45711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45711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45711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45711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45711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45711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45711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45711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45711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45711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45711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45711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45711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45711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45711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45711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45711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45711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45711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45711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45711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45711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45711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45711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45711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45711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45711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45711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45711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45711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45711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45711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45711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45711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45711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45711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45711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45711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45711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45711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45711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45711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45711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45711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45711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45711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45711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45711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45711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45711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45711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45711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45711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45711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45711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45711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45711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45711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45711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45711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45711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45711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45711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45711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45711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45711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45711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45711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45711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45711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45711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45711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45711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45711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45711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45711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45711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45711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45711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45711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45711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45711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45711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45711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45711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45711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45711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45711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45711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45711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45711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45711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45711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45711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45711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45711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45711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45711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45711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45711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45711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45711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45711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45711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45711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45711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45711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45711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45711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45711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45711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45711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45711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45711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45711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45711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45711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45711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45711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45711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45711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45711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45711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45711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45711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45711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45711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45711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45711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45711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45711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45711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45711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45711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45711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45711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45711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45711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45711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45711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45711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45711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45711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45711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45711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45711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45711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45711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45711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45711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45711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45711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45711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45711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45711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45711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45711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45711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45711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45711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45711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45711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45711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45711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45711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45711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45711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45711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45711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45711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45711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45711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45711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45711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45711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45711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45711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45711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45711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45711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45711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45711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45711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45711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45711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45711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45711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45711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45711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45711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45711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45711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45711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45711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45711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45711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45711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45711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45711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45711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45711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45711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45711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45711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45711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45711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45711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45711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45711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45711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45711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45711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45711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45711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45711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45711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45711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45711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45711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45711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45711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45711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45711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45711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45711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45711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45711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45711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45711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45711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45711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45711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45711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45711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45711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45711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45711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45711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45711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45711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45711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45711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45711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45711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45711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45711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45711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45711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45711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45711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45711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45711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45711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45711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45711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45711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45711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45711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45711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45711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45711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45711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45711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45711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45711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45711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45711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45711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45711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45711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45711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45711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45711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45711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45711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45711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45711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45711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45711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45711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45711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45711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45711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45711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45711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45711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45711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45711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45711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45711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45711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45711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45711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45711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45711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45711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45711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45711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45711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45711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45711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45711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45711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45711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45711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45711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45711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45711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45711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45711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45711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45711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45711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45711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45711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45711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45711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45711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45711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45711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45711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45711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45711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45711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45711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45711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45711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45711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45711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45711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45711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45711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45711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45711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45711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45711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45711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45711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45711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45711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45711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45711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45711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45711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45711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45711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45711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45711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45711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45711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45711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45711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45711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45711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45711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45711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45711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45711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45711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45711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45711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45711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45711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45711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45711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45711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45711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45711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45711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45711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45711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45711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45711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45711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45711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45711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45711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45711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45711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45711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45711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45711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45711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45711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45711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45711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45711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45711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45711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45711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45711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45711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45711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45711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45711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45711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45711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45711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45711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45711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45711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45711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45711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45711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45711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45711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45711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45711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45711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45711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45711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45711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45711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45711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45711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45711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45711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45711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45711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45711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45711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45711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45711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45711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45711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45711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45711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45711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45711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45711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45711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45711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45711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45711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45711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45711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45711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45711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45711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45711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45711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45711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45711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45711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45711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45711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45711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45711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45711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45711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45711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45711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45711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45711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45711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45711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45711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45711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45711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45711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45711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45711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45711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45711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45711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45711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45711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45711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45711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45711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45711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45711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45711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45711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45711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45711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45711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45711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45711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45711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45711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45711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45711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45711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45711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45711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45711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45711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45711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45711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45711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45711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45711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45711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45711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45711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45711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45711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45711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45711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45711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45711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45711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45711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45711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45711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45711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45711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45711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45711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45711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45711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45711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45711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45711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45711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45711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45711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45711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45711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45711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45711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45711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45711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45711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45711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45711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45711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45711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45711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45711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45711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45711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45711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45711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45711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45711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45711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45711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45711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45711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45711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45711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45711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45711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45711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45711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45711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45711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45711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45711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45711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45711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45711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45711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45711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45711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45711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45711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45711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45711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45711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45711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45711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45711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45711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45711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45711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45711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45711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45711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45711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45711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45711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45711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45711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45711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45711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45711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45711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45711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45711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45711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45711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45711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45711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45711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45711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45711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45711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45711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45711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45711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45711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45711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45711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45711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45711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45711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45711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45711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45711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45711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45711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45711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45711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45711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45711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45711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45711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45711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45711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45711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45711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45711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45711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45711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45711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45711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45711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45711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45711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45711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45711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45711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45711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45711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45711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45711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45711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45711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45711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45711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45711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45711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45711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45711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45711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45711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45711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45711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45711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45711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45711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45711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45711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45711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45711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45711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45711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45711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45711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45711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45711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45711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45711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45711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45711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45711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45711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45711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45711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45711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45711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45711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45711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45711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45711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45711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45711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45711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45711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45711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45711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45711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45711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45711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45711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45711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45711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45711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45711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45711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45711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45711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45711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45711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45711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45711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45711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45711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45711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45711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45711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45711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45711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45711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45711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45711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45711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45711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45711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45711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45711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45711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45711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45711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45711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45711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45711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45711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45711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45711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45711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45711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45711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45711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45711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45711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45711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45711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45711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45711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45711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45711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45711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45711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45711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45711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45711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45711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45711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45711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45711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45711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45711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45711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45711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45711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45711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45711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45711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45711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45711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45711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45711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45711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45711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45711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45711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45711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45711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45711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45711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45711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45711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45711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45711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45711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45711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45711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45711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45711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45711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45711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45711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45711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45711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45711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45711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45711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45711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45711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45711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45711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45711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45711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45711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45711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45711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45711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45711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45711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45711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45711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45711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45711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45711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45711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45711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45711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45711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45711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45711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45711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45711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45711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45711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45711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45711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45711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45711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45711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45711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45711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45711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45711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45711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45711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45711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45711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45711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45711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45711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45711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45711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45711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45711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45711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45711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45711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45711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45711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45711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45711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45711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45711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45711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45711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45711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45711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45711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45711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45711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45711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45711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45711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45711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45711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45711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45711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45711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45711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45711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45711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45711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45711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45711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45711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45711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45711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45711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45711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45711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45711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45711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45711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45711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45711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45711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45711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45711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45711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45711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45711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45711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45711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45711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45711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45711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45711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45711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45711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45711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45711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45711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45711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45711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45711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45711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45711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45711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45711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45711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45711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45711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45711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45711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45711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45711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45711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45711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45711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45711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45711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45711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45711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45711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45711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45711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45711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45711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45711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45711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45711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45711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45711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45711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45711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45711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45711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45711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45711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45711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45711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45711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45711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45711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45711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45711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45711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45711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45711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45711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45711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45711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45711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45711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45711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45711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45711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45711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45711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45711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45711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45711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45711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45711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45711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45711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45711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45711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45711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45711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45711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45711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45711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45711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45711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45711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45711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45711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45711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45711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45711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45711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45711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45711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45711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45711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45711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45711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45711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45711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45711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45711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45711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45711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45711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45711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45711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45711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45711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45711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45711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45711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45711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45711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45711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45711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45711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45711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45711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45711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45711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45711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45711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45711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45711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45711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45711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45711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45711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45711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45711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45711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45711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45711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45711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45711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45711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45711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45711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45711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45711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45711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45711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45711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45711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45711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45711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45711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45711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45711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45711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45711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45711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45711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45711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45711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45711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45711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45711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45711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45711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45711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45711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45711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45711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45711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45711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45711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45711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45711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45711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45711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45711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45711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45711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45711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45711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45711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45711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45711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45711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45711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45711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45711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45711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45711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45711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45711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45711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45711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45711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45711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45711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45711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45711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45711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45711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45711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45711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45711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45711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45711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45711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45711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45711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45711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45711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45711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45711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45711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45711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45711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45711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45711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45711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45711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45711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45711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45711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45711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45711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45711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45711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45711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45711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45711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45711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45711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45711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45711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45711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45711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45711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45711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45711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45711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45711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45711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45711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45711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45711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45711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45711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45711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45711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45711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45711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45711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45711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45711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45711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45711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45711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45711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45711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45711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45711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45711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45711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45711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45711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45711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45711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45711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45711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45711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45711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45711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45711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45711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45711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45711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45711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45711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45711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45711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45711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45711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45711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45711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45711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45711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45711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45711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45711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45711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45711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45711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45711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45711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45711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45711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45711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45711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45711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45711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45711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45711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45711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45711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45711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45711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45711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45711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45711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45711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45711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45711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45711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45711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45711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45711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45711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45711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45711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45711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45711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45711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45711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45711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45711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45711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45711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45711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45711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45711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45711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45711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45711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45711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45711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45711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45711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45711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45711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45711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45711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45711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45711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45711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45711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45711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45711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45711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45711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3753-2025</t>
        </is>
      </c>
      <c r="B1469" s="1" t="n">
        <v>45681</v>
      </c>
      <c r="C1469" s="1" t="n">
        <v>45711</v>
      </c>
      <c r="D1469" t="inlineStr">
        <is>
          <t>KALMAR LÄN</t>
        </is>
      </c>
      <c r="E1469" t="inlineStr">
        <is>
          <t>HULTSFRED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45711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45711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3676-2025</t>
        </is>
      </c>
      <c r="B1472" s="1" t="n">
        <v>45681</v>
      </c>
      <c r="C1472" s="1" t="n">
        <v>45711</v>
      </c>
      <c r="D1472" t="inlineStr">
        <is>
          <t>KALMAR LÄN</t>
        </is>
      </c>
      <c r="E1472" t="inlineStr">
        <is>
          <t>HULTSFRED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3672-2025</t>
        </is>
      </c>
      <c r="B1473" s="1" t="n">
        <v>45681</v>
      </c>
      <c r="C1473" s="1" t="n">
        <v>45711</v>
      </c>
      <c r="D1473" t="inlineStr">
        <is>
          <t>KALMAR LÄN</t>
        </is>
      </c>
      <c r="E1473" t="inlineStr">
        <is>
          <t>HULTSFRED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45711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45711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45711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45711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5000-2025</t>
        </is>
      </c>
      <c r="B1478" s="1" t="n">
        <v>45691</v>
      </c>
      <c r="C1478" s="1" t="n">
        <v>45711</v>
      </c>
      <c r="D1478" t="inlineStr">
        <is>
          <t>KALMAR LÄN</t>
        </is>
      </c>
      <c r="E1478" t="inlineStr">
        <is>
          <t>HULTSFRED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45711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45711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5206-2025</t>
        </is>
      </c>
      <c r="B1481" s="1" t="n">
        <v>45691</v>
      </c>
      <c r="C1481" s="1" t="n">
        <v>45711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5503-2025</t>
        </is>
      </c>
      <c r="B1482" s="1" t="n">
        <v>45693</v>
      </c>
      <c r="C1482" s="1" t="n">
        <v>45711</v>
      </c>
      <c r="D1482" t="inlineStr">
        <is>
          <t>KALMAR LÄN</t>
        </is>
      </c>
      <c r="E1482" t="inlineStr">
        <is>
          <t>HULTSFRED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5589-2025</t>
        </is>
      </c>
      <c r="B1483" s="1" t="n">
        <v>45693</v>
      </c>
      <c r="C1483" s="1" t="n">
        <v>45711</v>
      </c>
      <c r="D1483" t="inlineStr">
        <is>
          <t>KALMAR LÄN</t>
        </is>
      </c>
      <c r="E1483" t="inlineStr">
        <is>
          <t>HULTSFRED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45711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45711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45711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45711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45711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45711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45711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45711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45711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45711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45711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45711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7606-2025</t>
        </is>
      </c>
      <c r="B1496" s="1" t="n">
        <v>45705</v>
      </c>
      <c r="C1496" s="1" t="n">
        <v>45711</v>
      </c>
      <c r="D1496" t="inlineStr">
        <is>
          <t>KALMAR LÄN</t>
        </is>
      </c>
      <c r="E1496" t="inlineStr">
        <is>
          <t>HULTSFRED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45711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7753-2025</t>
        </is>
      </c>
      <c r="B1498" s="1" t="n">
        <v>45706</v>
      </c>
      <c r="C1498" s="1" t="n">
        <v>45711</v>
      </c>
      <c r="D1498" t="inlineStr">
        <is>
          <t>KALMAR LÄN</t>
        </is>
      </c>
      <c r="E1498" t="inlineStr">
        <is>
          <t>HULTSFRED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7658-2025</t>
        </is>
      </c>
      <c r="B1499" s="1" t="n">
        <v>45706</v>
      </c>
      <c r="C1499" s="1" t="n">
        <v>45711</v>
      </c>
      <c r="D1499" t="inlineStr">
        <is>
          <t>KALMAR LÄN</t>
        </is>
      </c>
      <c r="E1499" t="inlineStr">
        <is>
          <t>HULTSFRED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7671-2025</t>
        </is>
      </c>
      <c r="B1500" s="1" t="n">
        <v>45706</v>
      </c>
      <c r="C1500" s="1" t="n">
        <v>45711</v>
      </c>
      <c r="D1500" t="inlineStr">
        <is>
          <t>KALMAR LÄN</t>
        </is>
      </c>
      <c r="E1500" t="inlineStr">
        <is>
          <t>HULTSFRED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45711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7751-2025</t>
        </is>
      </c>
      <c r="B1502" s="1" t="n">
        <v>45706</v>
      </c>
      <c r="C1502" s="1" t="n">
        <v>45711</v>
      </c>
      <c r="D1502" t="inlineStr">
        <is>
          <t>KALMAR LÄN</t>
        </is>
      </c>
      <c r="E1502" t="inlineStr">
        <is>
          <t>HULTSFRED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2025-02-23T16:25:27Z</dcterms:created>
  <dcterms:modified xmlns:dcterms="http://purl.org/dc/terms/" xmlns:xsi="http://www.w3.org/2001/XMLSchema-instance" xsi:type="dcterms:W3CDTF">2025-02-23T16:25:28Z</dcterms:modified>
</cp:coreProperties>
</file>