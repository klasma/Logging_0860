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46217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46217</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46217</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46217</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46217</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46217</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46217</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s="2" t="inlineStr">
        <is>
          <t>Knärot
Tallticka
Talltita
Grönpyrola
Blåsippa
Spillkråka
Ärtsångare
Gullviva</t>
        </is>
      </c>
      <c r="V8">
        <f>HYPERLINK("https://klasma.github.io/Logging_0860/artfynd/A 37640-2024 artfynd.xlsx", "A 37640-2024")</f>
        <v/>
      </c>
      <c r="W8">
        <f>HYPERLINK("https://klasma.github.io/Logging_0860/kartor/A 37640-2024 karta.png", "A 37640-2024")</f>
        <v/>
      </c>
      <c r="X8">
        <f>HYPERLINK("https://klasma.github.io/Logging_0860/knärot/A 37640-2024 karta knärot.png", "A 37640-2024")</f>
        <v/>
      </c>
      <c r="Y8">
        <f>HYPERLINK("https://klasma.github.io/Logging_0860/klagomål/A 37640-2024 FSC-klagomål.docx", "A 37640-2024")</f>
        <v/>
      </c>
      <c r="Z8">
        <f>HYPERLINK("https://klasma.github.io/Logging_0860/klagomålsmail/A 37640-2024 FSC-klagomål mail.docx", "A 37640-2024")</f>
        <v/>
      </c>
      <c r="AA8">
        <f>HYPERLINK("https://klasma.github.io/Logging_0860/tillsyn/A 37640-2024 tillsynsbegäran.docx", "A 37640-2024")</f>
        <v/>
      </c>
      <c r="AB8">
        <f>HYPERLINK("https://klasma.github.io/Logging_0860/tillsynsmail/A 37640-2024 tillsynsbegäran mail.docx", "A 37640-2024")</f>
        <v/>
      </c>
      <c r="AC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46217</v>
      </c>
      <c r="F9" t="inlineStr">
        <is>
          <t>KALMAR LÄN</t>
        </is>
      </c>
      <c r="G9" t="inlineStr">
        <is>
          <t>HULTSFRED</t>
        </is>
      </c>
      <c r="I9" t="n">
        <v>1.4</v>
      </c>
      <c r="J9" t="n">
        <v>6</v>
      </c>
      <c r="K9" t="n">
        <v>0</v>
      </c>
      <c r="L9" t="n">
        <v>3</v>
      </c>
      <c r="M9" t="n">
        <v>1</v>
      </c>
      <c r="N9" t="n">
        <v>0</v>
      </c>
      <c r="O9" t="n">
        <v>0</v>
      </c>
      <c r="P9" t="n">
        <v>0</v>
      </c>
      <c r="Q9" t="n">
        <v>4</v>
      </c>
      <c r="R9" t="n">
        <v>1</v>
      </c>
      <c r="S9" t="n">
        <v>8</v>
      </c>
      <c r="T9" t="n">
        <v>28</v>
      </c>
      <c r="U9" s="2" t="inlineStr">
        <is>
          <t>Knärot
Kricka
Tallticka
Ullticka
Kungsfågel
Skogsduva
Vanlig groda
Revlummer</t>
        </is>
      </c>
      <c r="V9">
        <f>HYPERLINK("https://klasma.github.io/Logging_0860/artfynd/A 15095-2024 artfynd.xlsx", "A 15095-2024")</f>
        <v/>
      </c>
      <c r="W9">
        <f>HYPERLINK("https://klasma.github.io/Logging_0860/kartor/A 15095-2024 karta.png", "A 15095-2024")</f>
        <v/>
      </c>
      <c r="X9">
        <f>HYPERLINK("https://klasma.github.io/Logging_0860/knärot/A 15095-2024 karta knärot.png", "A 15095-2024")</f>
        <v/>
      </c>
      <c r="Y9">
        <f>HYPERLINK("https://klasma.github.io/Logging_0860/klagomål/A 15095-2024 FSC-klagomål.docx", "A 15095-2024")</f>
        <v/>
      </c>
      <c r="Z9">
        <f>HYPERLINK("https://klasma.github.io/Logging_0860/klagomålsmail/A 15095-2024 FSC-klagomål mail.docx", "A 15095-2024")</f>
        <v/>
      </c>
      <c r="AA9">
        <f>HYPERLINK("https://klasma.github.io/Logging_0860/tillsyn/A 15095-2024 tillsynsbegäran.docx", "A 15095-2024")</f>
        <v/>
      </c>
      <c r="AB9">
        <f>HYPERLINK("https://klasma.github.io/Logging_0860/tillsynsmail/A 15095-2024 tillsynsbegäran mail.docx", "A 15095-2024")</f>
        <v/>
      </c>
      <c r="AC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46217</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46217</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46217</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46217</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46217</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46217</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s="2" t="inlineStr">
        <is>
          <t>Ask
Knärot
Mindre bastardsvärmare
Mindre tåtelsmygare
Guldlockmossa
Ängskovall
Gullviva</t>
        </is>
      </c>
      <c r="V15">
        <f>HYPERLINK("https://klasma.github.io/Logging_0860/artfynd/A 22933-2025 artfynd.xlsx", "A 22933-2025")</f>
        <v/>
      </c>
      <c r="W15">
        <f>HYPERLINK("https://klasma.github.io/Logging_0860/kartor/A 22933-2025 karta.png", "A 22933-2025")</f>
        <v/>
      </c>
      <c r="X15">
        <f>HYPERLINK("https://klasma.github.io/Logging_0860/knärot/A 22933-2025 karta knärot.png", "A 22933-2025")</f>
        <v/>
      </c>
      <c r="Y15">
        <f>HYPERLINK("https://klasma.github.io/Logging_0860/klagomål/A 22933-2025 FSC-klagomål.docx", "A 22933-2025")</f>
        <v/>
      </c>
      <c r="Z15">
        <f>HYPERLINK("https://klasma.github.io/Logging_0860/klagomålsmail/A 22933-2025 FSC-klagomål mail.docx", "A 22933-2025")</f>
        <v/>
      </c>
      <c r="AA15">
        <f>HYPERLINK("https://klasma.github.io/Logging_0860/tillsyn/A 22933-2025 tillsynsbegäran.docx", "A 22933-2025")</f>
        <v/>
      </c>
      <c r="AB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46217</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s="2" t="inlineStr">
        <is>
          <t>Knärot
Dropptaggsvamp
Talltita
Tibast
Blåsippa
Kungsfågel
Revlummer</t>
        </is>
      </c>
      <c r="V16">
        <f>HYPERLINK("https://klasma.github.io/Logging_0860/artfynd/A 73465-2021 artfynd.xlsx", "A 73465-2021")</f>
        <v/>
      </c>
      <c r="W16">
        <f>HYPERLINK("https://klasma.github.io/Logging_0860/kartor/A 73465-2021 karta.png", "A 73465-2021")</f>
        <v/>
      </c>
      <c r="X16">
        <f>HYPERLINK("https://klasma.github.io/Logging_0860/knärot/A 73465-2021 karta knärot.png", "A 73465-2021")</f>
        <v/>
      </c>
      <c r="Y16">
        <f>HYPERLINK("https://klasma.github.io/Logging_0860/klagomål/A 73465-2021 FSC-klagomål.docx", "A 73465-2021")</f>
        <v/>
      </c>
      <c r="Z16">
        <f>HYPERLINK("https://klasma.github.io/Logging_0860/klagomålsmail/A 73465-2021 FSC-klagomål mail.docx", "A 73465-2021")</f>
        <v/>
      </c>
      <c r="AA16">
        <f>HYPERLINK("https://klasma.github.io/Logging_0860/tillsyn/A 73465-2021 tillsynsbegäran.docx", "A 73465-2021")</f>
        <v/>
      </c>
      <c r="AB16">
        <f>HYPERLINK("https://klasma.github.io/Logging_0860/tillsynsmail/A 73465-2021 tillsynsbegäran mail.docx", "A 73465-2021")</f>
        <v/>
      </c>
      <c r="AC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46217</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s="2" t="inlineStr">
        <is>
          <t>Knärot
Ryl
Dropptaggsvamp
Svinrot
Talltita
Blåsippa
Spillkråka</t>
        </is>
      </c>
      <c r="V17">
        <f>HYPERLINK("https://klasma.github.io/Logging_0860/artfynd/A 37626-2024 artfynd.xlsx", "A 37626-2024")</f>
        <v/>
      </c>
      <c r="W17">
        <f>HYPERLINK("https://klasma.github.io/Logging_0860/kartor/A 37626-2024 karta.png", "A 37626-2024")</f>
        <v/>
      </c>
      <c r="X17">
        <f>HYPERLINK("https://klasma.github.io/Logging_0860/knärot/A 37626-2024 karta knärot.png", "A 37626-2024")</f>
        <v/>
      </c>
      <c r="Y17">
        <f>HYPERLINK("https://klasma.github.io/Logging_0860/klagomål/A 37626-2024 FSC-klagomål.docx", "A 37626-2024")</f>
        <v/>
      </c>
      <c r="Z17">
        <f>HYPERLINK("https://klasma.github.io/Logging_0860/klagomålsmail/A 37626-2024 FSC-klagomål mail.docx", "A 37626-2024")</f>
        <v/>
      </c>
      <c r="AA17">
        <f>HYPERLINK("https://klasma.github.io/Logging_0860/tillsyn/A 37626-2024 tillsynsbegäran.docx", "A 37626-2024")</f>
        <v/>
      </c>
      <c r="AB17">
        <f>HYPERLINK("https://klasma.github.io/Logging_0860/tillsynsmail/A 37626-2024 tillsynsbegäran mail.docx", "A 37626-2024")</f>
        <v/>
      </c>
      <c r="AC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46217</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HYPERLINK("https://klasma.github.io/Logging_0860/knärot/A 15170-2024 karta knärot.png", "A 15170-2024")</f>
        <v/>
      </c>
      <c r="Y18">
        <f>HYPERLINK("https://klasma.github.io/Logging_0860/klagomål/A 15170-2024 FSC-klagomål.docx", "A 15170-2024")</f>
        <v/>
      </c>
      <c r="Z18">
        <f>HYPERLINK("https://klasma.github.io/Logging_0860/klagomålsmail/A 15170-2024 FSC-klagomål mail.docx", "A 15170-2024")</f>
        <v/>
      </c>
      <c r="AA18">
        <f>HYPERLINK("https://klasma.github.io/Logging_0860/tillsyn/A 15170-2024 tillsynsbegäran.docx", "A 15170-2024")</f>
        <v/>
      </c>
      <c r="AB18">
        <f>HYPERLINK("https://klasma.github.io/Logging_0860/tillsynsmail/A 15170-2024 tillsynsbegäran mail.docx", "A 15170-2024")</f>
        <v/>
      </c>
      <c r="AC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46217</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46217</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46217</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46217</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s="2" t="inlineStr">
        <is>
          <t>Knärot
Grönsångare
Grovticka
Spillkråka
Gullviva</t>
        </is>
      </c>
      <c r="V22">
        <f>HYPERLINK("https://klasma.github.io/Logging_0860/artfynd/A 15094-2024 artfynd.xlsx", "A 15094-2024")</f>
        <v/>
      </c>
      <c r="W22">
        <f>HYPERLINK("https://klasma.github.io/Logging_0860/kartor/A 15094-2024 karta.png", "A 15094-2024")</f>
        <v/>
      </c>
      <c r="X22">
        <f>HYPERLINK("https://klasma.github.io/Logging_0860/knärot/A 15094-2024 karta knärot.png", "A 15094-2024")</f>
        <v/>
      </c>
      <c r="Y22">
        <f>HYPERLINK("https://klasma.github.io/Logging_0860/klagomål/A 15094-2024 FSC-klagomål.docx", "A 15094-2024")</f>
        <v/>
      </c>
      <c r="Z22">
        <f>HYPERLINK("https://klasma.github.io/Logging_0860/klagomålsmail/A 15094-2024 FSC-klagomål mail.docx", "A 15094-2024")</f>
        <v/>
      </c>
      <c r="AA22">
        <f>HYPERLINK("https://klasma.github.io/Logging_0860/tillsyn/A 15094-2024 tillsynsbegäran.docx", "A 15094-2024")</f>
        <v/>
      </c>
      <c r="AB22">
        <f>HYPERLINK("https://klasma.github.io/Logging_0860/tillsynsmail/A 15094-2024 tillsynsbegäran mail.docx", "A 15094-2024")</f>
        <v/>
      </c>
      <c r="AC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46217</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s="2" t="inlineStr">
        <is>
          <t>Knärot
Slåttergubbe
Slåttergubbemal
Skarp dropptaggsvamp
Blåsippa</t>
        </is>
      </c>
      <c r="V23">
        <f>HYPERLINK("https://klasma.github.io/Logging_0860/artfynd/A 13006-2024 artfynd.xlsx", "A 13006-2024")</f>
        <v/>
      </c>
      <c r="W23">
        <f>HYPERLINK("https://klasma.github.io/Logging_0860/kartor/A 13006-2024 karta.png", "A 13006-2024")</f>
        <v/>
      </c>
      <c r="X23">
        <f>HYPERLINK("https://klasma.github.io/Logging_0860/knärot/A 13006-2024 karta knärot.png", "A 13006-2024")</f>
        <v/>
      </c>
      <c r="Y23">
        <f>HYPERLINK("https://klasma.github.io/Logging_0860/klagomål/A 13006-2024 FSC-klagomål.docx", "A 13006-2024")</f>
        <v/>
      </c>
      <c r="Z23">
        <f>HYPERLINK("https://klasma.github.io/Logging_0860/klagomålsmail/A 13006-2024 FSC-klagomål mail.docx", "A 13006-2024")</f>
        <v/>
      </c>
      <c r="AA23">
        <f>HYPERLINK("https://klasma.github.io/Logging_0860/tillsyn/A 13006-2024 tillsynsbegäran.docx", "A 13006-2024")</f>
        <v/>
      </c>
      <c r="AB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46217</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s="2" t="inlineStr">
        <is>
          <t>Knärot
Talltita
Grönpyrola
Blåsippa
Spillkråka</t>
        </is>
      </c>
      <c r="V24">
        <f>HYPERLINK("https://klasma.github.io/Logging_0860/artfynd/A 10673-2024 artfynd.xlsx", "A 10673-2024")</f>
        <v/>
      </c>
      <c r="W24">
        <f>HYPERLINK("https://klasma.github.io/Logging_0860/kartor/A 10673-2024 karta.png", "A 10673-2024")</f>
        <v/>
      </c>
      <c r="X24">
        <f>HYPERLINK("https://klasma.github.io/Logging_0860/knärot/A 10673-2024 karta knärot.png", "A 10673-2024")</f>
        <v/>
      </c>
      <c r="Y24">
        <f>HYPERLINK("https://klasma.github.io/Logging_0860/klagomål/A 10673-2024 FSC-klagomål.docx", "A 10673-2024")</f>
        <v/>
      </c>
      <c r="Z24">
        <f>HYPERLINK("https://klasma.github.io/Logging_0860/klagomålsmail/A 10673-2024 FSC-klagomål mail.docx", "A 10673-2024")</f>
        <v/>
      </c>
      <c r="AA24">
        <f>HYPERLINK("https://klasma.github.io/Logging_0860/tillsyn/A 10673-2024 tillsynsbegäran.docx", "A 10673-2024")</f>
        <v/>
      </c>
      <c r="AB24">
        <f>HYPERLINK("https://klasma.github.io/Logging_0860/tillsynsmail/A 10673-2024 tillsynsbegäran mail.docx", "A 10673-2024")</f>
        <v/>
      </c>
      <c r="AC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46217</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s="2" t="inlineStr">
        <is>
          <t>Brunlångöra
Fransfladdermus
Nordfladdermus
Dvärgpipistrell
Vattenfladdermus</t>
        </is>
      </c>
      <c r="V25">
        <f>HYPERLINK("https://klasma.github.io/Logging_0860/artfynd/A 40302-2022 artfynd.xlsx", "A 40302-2022")</f>
        <v/>
      </c>
      <c r="W25">
        <f>HYPERLINK("https://klasma.github.io/Logging_0860/kartor/A 40302-2022 karta.png", "A 40302-2022")</f>
        <v/>
      </c>
      <c r="Y25">
        <f>HYPERLINK("https://klasma.github.io/Logging_0860/klagomål/A 40302-2022 FSC-klagomål.docx", "A 40302-2022")</f>
        <v/>
      </c>
      <c r="Z25">
        <f>HYPERLINK("https://klasma.github.io/Logging_0860/klagomålsmail/A 40302-2022 FSC-klagomål mail.docx", "A 40302-2022")</f>
        <v/>
      </c>
      <c r="AA25">
        <f>HYPERLINK("https://klasma.github.io/Logging_0860/tillsyn/A 40302-2022 tillsynsbegäran.docx", "A 40302-2022")</f>
        <v/>
      </c>
      <c r="AB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46217</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s="2" t="inlineStr">
        <is>
          <t>Gulsparv
Mindre hackspett
Spillkråka
Kungsfågel
Ärtsångare</t>
        </is>
      </c>
      <c r="V26">
        <f>HYPERLINK("https://klasma.github.io/Logging_0860/artfynd/A 25776-2024 artfynd.xlsx", "A 25776-2024")</f>
        <v/>
      </c>
      <c r="W26">
        <f>HYPERLINK("https://klasma.github.io/Logging_0860/kartor/A 25776-2024 karta.png", "A 25776-2024")</f>
        <v/>
      </c>
      <c r="Y26">
        <f>HYPERLINK("https://klasma.github.io/Logging_0860/klagomål/A 25776-2024 FSC-klagomål.docx", "A 25776-2024")</f>
        <v/>
      </c>
      <c r="Z26">
        <f>HYPERLINK("https://klasma.github.io/Logging_0860/klagomålsmail/A 25776-2024 FSC-klagomål mail.docx", "A 25776-2024")</f>
        <v/>
      </c>
      <c r="AA26">
        <f>HYPERLINK("https://klasma.github.io/Logging_0860/tillsyn/A 25776-2024 tillsynsbegäran.docx", "A 25776-2024")</f>
        <v/>
      </c>
      <c r="AB26">
        <f>HYPERLINK("https://klasma.github.io/Logging_0860/tillsynsmail/A 25776-2024 tillsynsbegäran mail.docx", "A 25776-2024")</f>
        <v/>
      </c>
      <c r="AC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46217</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46217</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46217</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46217</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s="2" t="inlineStr">
        <is>
          <t>Grönsångare
Ekskinn
Klippfrullania</t>
        </is>
      </c>
      <c r="V30">
        <f>HYPERLINK("https://klasma.github.io/Logging_0860/artfynd/A 15110-2024 artfynd.xlsx", "A 15110-2024")</f>
        <v/>
      </c>
      <c r="W30">
        <f>HYPERLINK("https://klasma.github.io/Logging_0860/kartor/A 15110-2024 karta.png", "A 15110-2024")</f>
        <v/>
      </c>
      <c r="Y30">
        <f>HYPERLINK("https://klasma.github.io/Logging_0860/klagomål/A 15110-2024 FSC-klagomål.docx", "A 15110-2024")</f>
        <v/>
      </c>
      <c r="Z30">
        <f>HYPERLINK("https://klasma.github.io/Logging_0860/klagomålsmail/A 15110-2024 FSC-klagomål mail.docx", "A 15110-2024")</f>
        <v/>
      </c>
      <c r="AA30">
        <f>HYPERLINK("https://klasma.github.io/Logging_0860/tillsyn/A 15110-2024 tillsynsbegäran.docx", "A 15110-2024")</f>
        <v/>
      </c>
      <c r="AB30">
        <f>HYPERLINK("https://klasma.github.io/Logging_0860/tillsynsmail/A 15110-2024 tillsynsbegäran mail.docx", "A 15110-2024")</f>
        <v/>
      </c>
      <c r="AC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46217</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s="2" t="inlineStr">
        <is>
          <t>Murgröna
Skogsödla
Revlummer</t>
        </is>
      </c>
      <c r="V31">
        <f>HYPERLINK("https://klasma.github.io/Logging_0860/artfynd/A 35517-2023 artfynd.xlsx", "A 35517-2023")</f>
        <v/>
      </c>
      <c r="W31">
        <f>HYPERLINK("https://klasma.github.io/Logging_0860/kartor/A 35517-2023 karta.png", "A 35517-2023")</f>
        <v/>
      </c>
      <c r="Y31">
        <f>HYPERLINK("https://klasma.github.io/Logging_0860/klagomål/A 35517-2023 FSC-klagomål.docx", "A 35517-2023")</f>
        <v/>
      </c>
      <c r="Z31">
        <f>HYPERLINK("https://klasma.github.io/Logging_0860/klagomålsmail/A 35517-2023 FSC-klagomål mail.docx", "A 35517-2023")</f>
        <v/>
      </c>
      <c r="AA31">
        <f>HYPERLINK("https://klasma.github.io/Logging_0860/tillsyn/A 35517-2023 tillsynsbegäran.docx", "A 35517-2023")</f>
        <v/>
      </c>
      <c r="AB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46217</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s="2" t="inlineStr">
        <is>
          <t>Ekticka
Sädesärla
Grönvit nattviol</t>
        </is>
      </c>
      <c r="V32">
        <f>HYPERLINK("https://klasma.github.io/Logging_0860/artfynd/A 44562-2025 artfynd.xlsx", "A 44562-2025")</f>
        <v/>
      </c>
      <c r="W32">
        <f>HYPERLINK("https://klasma.github.io/Logging_0860/kartor/A 44562-2025 karta.png", "A 44562-2025")</f>
        <v/>
      </c>
      <c r="Y32">
        <f>HYPERLINK("https://klasma.github.io/Logging_0860/klagomål/A 44562-2025 FSC-klagomål.docx", "A 44562-2025")</f>
        <v/>
      </c>
      <c r="Z32">
        <f>HYPERLINK("https://klasma.github.io/Logging_0860/klagomålsmail/A 44562-2025 FSC-klagomål mail.docx", "A 44562-2025")</f>
        <v/>
      </c>
      <c r="AA32">
        <f>HYPERLINK("https://klasma.github.io/Logging_0860/tillsyn/A 44562-2025 tillsynsbegäran.docx", "A 44562-2025")</f>
        <v/>
      </c>
      <c r="AB32">
        <f>HYPERLINK("https://klasma.github.io/Logging_0860/tillsynsmail/A 44562-2025 tillsynsbegäran mail.docx", "A 44562-2025")</f>
        <v/>
      </c>
      <c r="AC32">
        <f>HYPERLINK("https://klasma.github.io/Logging_0860/fåglar/A 44562-2025 prioriterade fågelarter.docx", "A 44562-2025")</f>
        <v/>
      </c>
    </row>
    <row r="33" ht="15" customHeight="1">
      <c r="A33" t="inlineStr">
        <is>
          <t>A 53295-2021</t>
        </is>
      </c>
      <c r="B33" t="inlineStr">
        <is>
          <t>avverkningsanmälan</t>
        </is>
      </c>
      <c r="C33" t="inlineStr">
        <is>
          <t>Avverkning för att bevara och utveckla /försöksver</t>
        </is>
      </c>
      <c r="D33" s="1" t="n">
        <v>44468</v>
      </c>
      <c r="E33" s="1" t="n">
        <v>46217</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s="2" t="inlineStr">
        <is>
          <t>Vedskivlav
Grön sköldmossa
Blåsippa</t>
        </is>
      </c>
      <c r="V33">
        <f>HYPERLINK("https://klasma.github.io/Logging_0860/artfynd/A 53295-2021 artfynd.xlsx", "A 53295-2021")</f>
        <v/>
      </c>
      <c r="W33">
        <f>HYPERLINK("https://klasma.github.io/Logging_0860/kartor/A 53295-2021 karta.png", "A 53295-2021")</f>
        <v/>
      </c>
      <c r="Y33">
        <f>HYPERLINK("https://klasma.github.io/Logging_0860/klagomål/A 53295-2021 FSC-klagomål.docx", "A 53295-2021")</f>
        <v/>
      </c>
      <c r="Z33">
        <f>HYPERLINK("https://klasma.github.io/Logging_0860/klagomålsmail/A 53295-2021 FSC-klagomål mail.docx", "A 53295-2021")</f>
        <v/>
      </c>
      <c r="AA33">
        <f>HYPERLINK("https://klasma.github.io/Logging_0860/tillsyn/A 53295-2021 tillsynsbegäran.docx", "A 53295-2021")</f>
        <v/>
      </c>
      <c r="AB33">
        <f>HYPERLINK("https://klasma.github.io/Logging_0860/tillsynsmail/A 53295-2021 tillsynsbegäran mail.docx", "A 53295-2021")</f>
        <v/>
      </c>
    </row>
    <row r="34" ht="15" customHeight="1">
      <c r="A34" t="inlineStr">
        <is>
          <t>A 53899-2025</t>
        </is>
      </c>
      <c r="B34" t="inlineStr">
        <is>
          <t>avverkningsanmälan</t>
        </is>
      </c>
      <c r="C34" t="inlineStr">
        <is>
          <t>Föryngringsavverkning</t>
        </is>
      </c>
      <c r="D34" s="1" t="n">
        <v>45961</v>
      </c>
      <c r="E34" s="1" t="n">
        <v>46217</v>
      </c>
      <c r="F34" t="inlineStr">
        <is>
          <t>KALMAR LÄN</t>
        </is>
      </c>
      <c r="G34" t="inlineStr">
        <is>
          <t>HULTSFRED</t>
        </is>
      </c>
      <c r="H34" t="inlineStr">
        <is>
          <t>Sveaskog</t>
        </is>
      </c>
      <c r="I34" t="n">
        <v>2.2</v>
      </c>
      <c r="J34" t="n">
        <v>0</v>
      </c>
      <c r="K34" t="n">
        <v>0</v>
      </c>
      <c r="L34" t="n">
        <v>2</v>
      </c>
      <c r="M34" t="n">
        <v>1</v>
      </c>
      <c r="N34" t="n">
        <v>0</v>
      </c>
      <c r="O34" t="n">
        <v>0</v>
      </c>
      <c r="P34" t="n">
        <v>0</v>
      </c>
      <c r="Q34" t="n">
        <v>3</v>
      </c>
      <c r="R34" t="n">
        <v>1</v>
      </c>
      <c r="S34" t="n">
        <v>3</v>
      </c>
      <c r="T34" t="n">
        <v>3</v>
      </c>
      <c r="U34" s="2" t="inlineStr">
        <is>
          <t>Slåttergubbe
Jungfrulin
Skogshare</t>
        </is>
      </c>
      <c r="V34">
        <f>HYPERLINK("https://klasma.github.io/Logging_0860/artfynd/A 53899-2025 artfynd.xlsx", "A 53899-2025")</f>
        <v/>
      </c>
      <c r="W34">
        <f>HYPERLINK("https://klasma.github.io/Logging_0860/kartor/A 53899-2025 karta.png", "A 53899-2025")</f>
        <v/>
      </c>
      <c r="Y34">
        <f>HYPERLINK("https://klasma.github.io/Logging_0860/klagomål/A 53899-2025 FSC-klagomål.docx", "A 53899-2025")</f>
        <v/>
      </c>
      <c r="Z34">
        <f>HYPERLINK("https://klasma.github.io/Logging_0860/klagomålsmail/A 53899-2025 FSC-klagomål mail.docx", "A 53899-2025")</f>
        <v/>
      </c>
      <c r="AA34">
        <f>HYPERLINK("https://klasma.github.io/Logging_0860/tillsyn/A 53899-2025 tillsynsbegäran.docx", "A 53899-2025")</f>
        <v/>
      </c>
      <c r="AB34">
        <f>HYPERLINK("https://klasma.github.io/Logging_0860/tillsynsmail/A 53899-2025 tillsynsbegäran mail.docx", "A 53899-2025")</f>
        <v/>
      </c>
    </row>
    <row r="35" ht="15" customHeight="1">
      <c r="A35" t="inlineStr">
        <is>
          <t>A 58031-2025</t>
        </is>
      </c>
      <c r="B35" t="inlineStr">
        <is>
          <t>avverkningsanmälan</t>
        </is>
      </c>
      <c r="C35" t="inlineStr">
        <is>
          <t>Föryngringsavverkning</t>
        </is>
      </c>
      <c r="D35" s="1" t="n">
        <v>45982</v>
      </c>
      <c r="E35" s="1" t="n">
        <v>46217</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s="2" t="inlineStr">
        <is>
          <t>Kungsfågel
Skogsduva
Svartvit flugsnappare</t>
        </is>
      </c>
      <c r="V35">
        <f>HYPERLINK("https://klasma.github.io/Logging_0860/artfynd/A 58031-2025 artfynd.xlsx", "A 58031-2025")</f>
        <v/>
      </c>
      <c r="W35">
        <f>HYPERLINK("https://klasma.github.io/Logging_0860/kartor/A 58031-2025 karta.png", "A 58031-2025")</f>
        <v/>
      </c>
      <c r="Y35">
        <f>HYPERLINK("https://klasma.github.io/Logging_0860/klagomål/A 58031-2025 FSC-klagomål.docx", "A 58031-2025")</f>
        <v/>
      </c>
      <c r="Z35">
        <f>HYPERLINK("https://klasma.github.io/Logging_0860/klagomålsmail/A 58031-2025 FSC-klagomål mail.docx", "A 58031-2025")</f>
        <v/>
      </c>
      <c r="AA35">
        <f>HYPERLINK("https://klasma.github.io/Logging_0860/tillsyn/A 58031-2025 tillsynsbegäran.docx", "A 58031-2025")</f>
        <v/>
      </c>
      <c r="AB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46217</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46217</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s="2" t="inlineStr">
        <is>
          <t>Dropptaggsvamp
Grönpyrola</t>
        </is>
      </c>
      <c r="V37">
        <f>HYPERLINK("https://klasma.github.io/Logging_0860/artfynd/A 59067-2021 artfynd.xlsx", "A 59067-2021")</f>
        <v/>
      </c>
      <c r="W37">
        <f>HYPERLINK("https://klasma.github.io/Logging_0860/kartor/A 59067-2021 karta.png", "A 59067-2021")</f>
        <v/>
      </c>
      <c r="Y37">
        <f>HYPERLINK("https://klasma.github.io/Logging_0860/klagomål/A 59067-2021 FSC-klagomål.docx", "A 59067-2021")</f>
        <v/>
      </c>
      <c r="Z37">
        <f>HYPERLINK("https://klasma.github.io/Logging_0860/klagomålsmail/A 59067-2021 FSC-klagomål mail.docx", "A 59067-2021")</f>
        <v/>
      </c>
      <c r="AA37">
        <f>HYPERLINK("https://klasma.github.io/Logging_0860/tillsyn/A 59067-2021 tillsynsbegäran.docx", "A 59067-2021")</f>
        <v/>
      </c>
      <c r="AB37">
        <f>HYPERLINK("https://klasma.github.io/Logging_0860/tillsynsmail/A 59067-2021 tillsynsbegäran mail.docx", "A 59067-2021")</f>
        <v/>
      </c>
    </row>
    <row r="38" ht="15" customHeight="1">
      <c r="A38" t="inlineStr">
        <is>
          <t>A 10998-2025</t>
        </is>
      </c>
      <c r="B38" t="inlineStr">
        <is>
          <t>avverkningsanmälan</t>
        </is>
      </c>
      <c r="C38" t="inlineStr">
        <is>
          <t>Föryngringsavverkning</t>
        </is>
      </c>
      <c r="D38" s="1" t="n">
        <v>45723</v>
      </c>
      <c r="E38" s="1" t="n">
        <v>46217</v>
      </c>
      <c r="F38" t="inlineStr">
        <is>
          <t>KALMAR LÄN</t>
        </is>
      </c>
      <c r="G38" t="inlineStr">
        <is>
          <t>HULTSFRED</t>
        </is>
      </c>
      <c r="H38" t="inlineStr">
        <is>
          <t>Sveaskog</t>
        </is>
      </c>
      <c r="I38" t="n">
        <v>1.3</v>
      </c>
      <c r="J38" t="n">
        <v>2</v>
      </c>
      <c r="K38" t="n">
        <v>0</v>
      </c>
      <c r="L38" t="n">
        <v>1</v>
      </c>
      <c r="M38" t="n">
        <v>0</v>
      </c>
      <c r="N38" t="n">
        <v>0</v>
      </c>
      <c r="O38" t="n">
        <v>0</v>
      </c>
      <c r="P38" t="n">
        <v>0</v>
      </c>
      <c r="Q38" t="n">
        <v>1</v>
      </c>
      <c r="R38" t="n">
        <v>0</v>
      </c>
      <c r="S38" t="n">
        <v>2</v>
      </c>
      <c r="T38" t="n">
        <v>2</v>
      </c>
      <c r="U38" s="2" t="inlineStr">
        <is>
          <t>Grönsångare
Spillkråka</t>
        </is>
      </c>
      <c r="V38">
        <f>HYPERLINK("https://klasma.github.io/Logging_0860/artfynd/A 10998-2025 artfynd.xlsx", "A 10998-2025")</f>
        <v/>
      </c>
      <c r="W38">
        <f>HYPERLINK("https://klasma.github.io/Logging_0860/kartor/A 10998-2025 karta.png", "A 10998-2025")</f>
        <v/>
      </c>
      <c r="Y38">
        <f>HYPERLINK("https://klasma.github.io/Logging_0860/klagomål/A 10998-2025 FSC-klagomål.docx", "A 10998-2025")</f>
        <v/>
      </c>
      <c r="Z38">
        <f>HYPERLINK("https://klasma.github.io/Logging_0860/klagomålsmail/A 10998-2025 FSC-klagomål mail.docx", "A 10998-2025")</f>
        <v/>
      </c>
      <c r="AA38">
        <f>HYPERLINK("https://klasma.github.io/Logging_0860/tillsyn/A 10998-2025 tillsynsbegäran.docx", "A 10998-2025")</f>
        <v/>
      </c>
      <c r="AB38">
        <f>HYPERLINK("https://klasma.github.io/Logging_0860/tillsynsmail/A 10998-2025 tillsynsbegäran mail.docx", "A 10998-2025")</f>
        <v/>
      </c>
      <c r="AC38">
        <f>HYPERLINK("https://klasma.github.io/Logging_0860/fåglar/A 10998-2025 prioriterade fågelarter.docx", "A 10998-2025")</f>
        <v/>
      </c>
    </row>
    <row r="39" ht="15" customHeight="1">
      <c r="A39" t="inlineStr">
        <is>
          <t>A 31046-2023</t>
        </is>
      </c>
      <c r="B39" t="inlineStr">
        <is>
          <t>avverkningsanmälan</t>
        </is>
      </c>
      <c r="C39" t="inlineStr">
        <is>
          <t>Föryngringsavverkning</t>
        </is>
      </c>
      <c r="D39" s="1" t="n">
        <v>45113</v>
      </c>
      <c r="E39" s="1" t="n">
        <v>46217</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s="2" t="inlineStr">
        <is>
          <t>Backsippa
Mörk dunört</t>
        </is>
      </c>
      <c r="V39">
        <f>HYPERLINK("https://klasma.github.io/Logging_0860/artfynd/A 31046-2023 artfynd.xlsx", "A 31046-2023")</f>
        <v/>
      </c>
      <c r="W39">
        <f>HYPERLINK("https://klasma.github.io/Logging_0860/kartor/A 31046-2023 karta.png", "A 31046-2023")</f>
        <v/>
      </c>
      <c r="Y39">
        <f>HYPERLINK("https://klasma.github.io/Logging_0860/klagomål/A 31046-2023 FSC-klagomål.docx", "A 31046-2023")</f>
        <v/>
      </c>
      <c r="Z39">
        <f>HYPERLINK("https://klasma.github.io/Logging_0860/klagomålsmail/A 31046-2023 FSC-klagomål mail.docx", "A 31046-2023")</f>
        <v/>
      </c>
      <c r="AA39">
        <f>HYPERLINK("https://klasma.github.io/Logging_0860/tillsyn/A 31046-2023 tillsynsbegäran.docx", "A 31046-2023")</f>
        <v/>
      </c>
      <c r="AB39">
        <f>HYPERLINK("https://klasma.github.io/Logging_0860/tillsynsmail/A 31046-2023 tillsynsbegäran mail.docx", "A 31046-2023")</f>
        <v/>
      </c>
    </row>
    <row r="40" ht="15" customHeight="1">
      <c r="A40" t="inlineStr">
        <is>
          <t>A 4964-2025</t>
        </is>
      </c>
      <c r="B40" t="inlineStr">
        <is>
          <t>avverkningsanmälan</t>
        </is>
      </c>
      <c r="C40" t="inlineStr">
        <is>
          <t>Föryngringsavverkning</t>
        </is>
      </c>
      <c r="D40" s="1" t="n">
        <v>45690</v>
      </c>
      <c r="E40" s="1" t="n">
        <v>46217</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s="2" t="inlineStr">
        <is>
          <t>Spillkråka
Tjäder</t>
        </is>
      </c>
      <c r="V40">
        <f>HYPERLINK("https://klasma.github.io/Logging_0860/artfynd/A 4964-2025 artfynd.xlsx", "A 4964-2025")</f>
        <v/>
      </c>
      <c r="W40">
        <f>HYPERLINK("https://klasma.github.io/Logging_0860/kartor/A 4964-2025 karta.png", "A 4964-2025")</f>
        <v/>
      </c>
      <c r="Y40">
        <f>HYPERLINK("https://klasma.github.io/Logging_0860/klagomål/A 4964-2025 FSC-klagomål.docx", "A 4964-2025")</f>
        <v/>
      </c>
      <c r="Z40">
        <f>HYPERLINK("https://klasma.github.io/Logging_0860/klagomålsmail/A 4964-2025 FSC-klagomål mail.docx", "A 4964-2025")</f>
        <v/>
      </c>
      <c r="AA40">
        <f>HYPERLINK("https://klasma.github.io/Logging_0860/tillsyn/A 4964-2025 tillsynsbegäran.docx", "A 4964-2025")</f>
        <v/>
      </c>
      <c r="AB40">
        <f>HYPERLINK("https://klasma.github.io/Logging_0860/tillsynsmail/A 4964-2025 tillsynsbegäran mail.docx", "A 4964-2025")</f>
        <v/>
      </c>
      <c r="AC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46217</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s="2" t="inlineStr">
        <is>
          <t>Kornig nållav
Sotlav</t>
        </is>
      </c>
      <c r="V41">
        <f>HYPERLINK("https://klasma.github.io/Logging_0860/artfynd/A 55609-2025 artfynd.xlsx", "A 55609-2025")</f>
        <v/>
      </c>
      <c r="W41">
        <f>HYPERLINK("https://klasma.github.io/Logging_0860/kartor/A 55609-2025 karta.png", "A 55609-2025")</f>
        <v/>
      </c>
      <c r="Y41">
        <f>HYPERLINK("https://klasma.github.io/Logging_0860/klagomål/A 55609-2025 FSC-klagomål.docx", "A 55609-2025")</f>
        <v/>
      </c>
      <c r="Z41">
        <f>HYPERLINK("https://klasma.github.io/Logging_0860/klagomålsmail/A 55609-2025 FSC-klagomål mail.docx", "A 55609-2025")</f>
        <v/>
      </c>
      <c r="AA41">
        <f>HYPERLINK("https://klasma.github.io/Logging_0860/tillsyn/A 55609-2025 tillsynsbegäran.docx", "A 55609-2025")</f>
        <v/>
      </c>
      <c r="AB41">
        <f>HYPERLINK("https://klasma.github.io/Logging_0860/tillsynsmail/A 55609-2025 tillsynsbegäran mail.docx", "A 55609-2025")</f>
        <v/>
      </c>
    </row>
    <row r="42" ht="15" customHeight="1">
      <c r="A42" t="inlineStr">
        <is>
          <t>A 16884-2025</t>
        </is>
      </c>
      <c r="B42" t="inlineStr">
        <is>
          <t>avverkningsanmälan</t>
        </is>
      </c>
      <c r="C42" t="inlineStr">
        <is>
          <t>Avverkning för att bevara och utveckla /försöksver</t>
        </is>
      </c>
      <c r="D42" s="1" t="n">
        <v>45755</v>
      </c>
      <c r="E42" s="1" t="n">
        <v>46217</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s="2" t="inlineStr">
        <is>
          <t>Åkerrödtoppa
Vanlig snok</t>
        </is>
      </c>
      <c r="V42">
        <f>HYPERLINK("https://klasma.github.io/Logging_0860/artfynd/A 16884-2025 artfynd.xlsx", "A 16884-2025")</f>
        <v/>
      </c>
      <c r="W42">
        <f>HYPERLINK("https://klasma.github.io/Logging_0860/kartor/A 16884-2025 karta.png", "A 16884-2025")</f>
        <v/>
      </c>
      <c r="Y42">
        <f>HYPERLINK("https://klasma.github.io/Logging_0860/klagomål/A 16884-2025 FSC-klagomål.docx", "A 16884-2025")</f>
        <v/>
      </c>
      <c r="Z42">
        <f>HYPERLINK("https://klasma.github.io/Logging_0860/klagomålsmail/A 16884-2025 FSC-klagomål mail.docx", "A 16884-2025")</f>
        <v/>
      </c>
      <c r="AA42">
        <f>HYPERLINK("https://klasma.github.io/Logging_0860/tillsyn/A 16884-2025 tillsynsbegäran.docx", "A 16884-2025")</f>
        <v/>
      </c>
      <c r="AB42">
        <f>HYPERLINK("https://klasma.github.io/Logging_0860/tillsynsmail/A 16884-2025 tillsynsbegäran mail.docx", "A 16884-2025")</f>
        <v/>
      </c>
    </row>
    <row r="43" ht="15" customHeight="1">
      <c r="A43" t="inlineStr">
        <is>
          <t>A 65529-2021</t>
        </is>
      </c>
      <c r="B43" t="inlineStr">
        <is>
          <t>avverkningsanmälan</t>
        </is>
      </c>
      <c r="C43" t="inlineStr">
        <is>
          <t>Föryngringsavverkning</t>
        </is>
      </c>
      <c r="D43" s="1" t="n">
        <v>44516</v>
      </c>
      <c r="E43" s="1" t="n">
        <v>46217</v>
      </c>
      <c r="F43" t="inlineStr">
        <is>
          <t>KALMAR LÄN</t>
        </is>
      </c>
      <c r="G43" t="inlineStr">
        <is>
          <t>HULTSFRED</t>
        </is>
      </c>
      <c r="I43" t="n">
        <v>2.3</v>
      </c>
      <c r="J43" t="n">
        <v>0</v>
      </c>
      <c r="K43" t="n">
        <v>1</v>
      </c>
      <c r="L43" t="n">
        <v>1</v>
      </c>
      <c r="M43" t="n">
        <v>0</v>
      </c>
      <c r="N43" t="n">
        <v>0</v>
      </c>
      <c r="O43" t="n">
        <v>0</v>
      </c>
      <c r="P43" t="n">
        <v>0</v>
      </c>
      <c r="Q43" t="n">
        <v>1</v>
      </c>
      <c r="R43" t="n">
        <v>0</v>
      </c>
      <c r="S43" t="n">
        <v>2</v>
      </c>
      <c r="T43" t="n">
        <v>2</v>
      </c>
      <c r="U43" s="2" t="inlineStr">
        <is>
          <t>Aspelandsfibbla
Källmossa</t>
        </is>
      </c>
      <c r="V43">
        <f>HYPERLINK("https://klasma.github.io/Logging_0860/artfynd/A 65529-2021 artfynd.xlsx", "A 65529-2021")</f>
        <v/>
      </c>
      <c r="W43">
        <f>HYPERLINK("https://klasma.github.io/Logging_0860/kartor/A 65529-2021 karta.png", "A 65529-2021")</f>
        <v/>
      </c>
      <c r="Y43">
        <f>HYPERLINK("https://klasma.github.io/Logging_0860/klagomål/A 65529-2021 FSC-klagomål.docx", "A 65529-2021")</f>
        <v/>
      </c>
      <c r="Z43">
        <f>HYPERLINK("https://klasma.github.io/Logging_0860/klagomålsmail/A 65529-2021 FSC-klagomål mail.docx", "A 65529-2021")</f>
        <v/>
      </c>
      <c r="AA43">
        <f>HYPERLINK("https://klasma.github.io/Logging_0860/tillsyn/A 65529-2021 tillsynsbegäran.docx", "A 65529-2021")</f>
        <v/>
      </c>
      <c r="AB43">
        <f>HYPERLINK("https://klasma.github.io/Logging_0860/tillsynsmail/A 65529-2021 tillsynsbegäran mail.docx", "A 65529-2021")</f>
        <v/>
      </c>
    </row>
    <row r="44" ht="15" customHeight="1">
      <c r="A44" t="inlineStr">
        <is>
          <t>A 11002-2025</t>
        </is>
      </c>
      <c r="B44" t="inlineStr">
        <is>
          <t>avverkningsanmälan</t>
        </is>
      </c>
      <c r="C44" t="inlineStr">
        <is>
          <t>Föryngringsavverkning</t>
        </is>
      </c>
      <c r="D44" s="1" t="n">
        <v>45723</v>
      </c>
      <c r="E44" s="1" t="n">
        <v>46217</v>
      </c>
      <c r="F44" t="inlineStr">
        <is>
          <t>KALMAR LÄN</t>
        </is>
      </c>
      <c r="G44" t="inlineStr">
        <is>
          <t>HULTSFRED</t>
        </is>
      </c>
      <c r="H44" t="inlineStr">
        <is>
          <t>Sveaskog</t>
        </is>
      </c>
      <c r="I44" t="n">
        <v>3.1</v>
      </c>
      <c r="J44" t="n">
        <v>2</v>
      </c>
      <c r="K44" t="n">
        <v>0</v>
      </c>
      <c r="L44" t="n">
        <v>1</v>
      </c>
      <c r="M44" t="n">
        <v>0</v>
      </c>
      <c r="N44" t="n">
        <v>0</v>
      </c>
      <c r="O44" t="n">
        <v>0</v>
      </c>
      <c r="P44" t="n">
        <v>0</v>
      </c>
      <c r="Q44" t="n">
        <v>1</v>
      </c>
      <c r="R44" t="n">
        <v>0</v>
      </c>
      <c r="S44" t="n">
        <v>2</v>
      </c>
      <c r="T44" t="n">
        <v>2</v>
      </c>
      <c r="U44" s="2" t="inlineStr">
        <is>
          <t>Grönsångare
Spillkråka</t>
        </is>
      </c>
      <c r="V44">
        <f>HYPERLINK("https://klasma.github.io/Logging_0860/artfynd/A 11002-2025 artfynd.xlsx", "A 11002-2025")</f>
        <v/>
      </c>
      <c r="W44">
        <f>HYPERLINK("https://klasma.github.io/Logging_0860/kartor/A 11002-2025 karta.png", "A 11002-2025")</f>
        <v/>
      </c>
      <c r="Y44">
        <f>HYPERLINK("https://klasma.github.io/Logging_0860/klagomål/A 11002-2025 FSC-klagomål.docx", "A 11002-2025")</f>
        <v/>
      </c>
      <c r="Z44">
        <f>HYPERLINK("https://klasma.github.io/Logging_0860/klagomålsmail/A 11002-2025 FSC-klagomål mail.docx", "A 11002-2025")</f>
        <v/>
      </c>
      <c r="AA44">
        <f>HYPERLINK("https://klasma.github.io/Logging_0860/tillsyn/A 11002-2025 tillsynsbegäran.docx", "A 11002-2025")</f>
        <v/>
      </c>
      <c r="AB44">
        <f>HYPERLINK("https://klasma.github.io/Logging_0860/tillsynsmail/A 11002-2025 tillsynsbegäran mail.docx", "A 11002-2025")</f>
        <v/>
      </c>
      <c r="AC44">
        <f>HYPERLINK("https://klasma.github.io/Logging_0860/fåglar/A 11002-2025 prioriterade fågelarter.docx", "A 11002-2025")</f>
        <v/>
      </c>
    </row>
    <row r="45" ht="15" customHeight="1">
      <c r="A45" t="inlineStr">
        <is>
          <t>A 74390-2021</t>
        </is>
      </c>
      <c r="B45" t="inlineStr">
        <is>
          <t>avverkningsanmälan</t>
        </is>
      </c>
      <c r="C45" t="inlineStr">
        <is>
          <t>Föryngringsavverkning</t>
        </is>
      </c>
      <c r="D45" s="1" t="n">
        <v>44559</v>
      </c>
      <c r="E45" s="1" t="n">
        <v>46217</v>
      </c>
      <c r="F45" t="inlineStr">
        <is>
          <t>KALMAR LÄN</t>
        </is>
      </c>
      <c r="G45" t="inlineStr">
        <is>
          <t>HULTSFRED</t>
        </is>
      </c>
      <c r="I45" t="n">
        <v>1.6</v>
      </c>
      <c r="J45" t="n">
        <v>0</v>
      </c>
      <c r="K45" t="n">
        <v>2</v>
      </c>
      <c r="L45" t="n">
        <v>0</v>
      </c>
      <c r="M45" t="n">
        <v>0</v>
      </c>
      <c r="N45" t="n">
        <v>0</v>
      </c>
      <c r="O45" t="n">
        <v>0</v>
      </c>
      <c r="P45" t="n">
        <v>0</v>
      </c>
      <c r="Q45" t="n">
        <v>0</v>
      </c>
      <c r="R45" t="n">
        <v>0</v>
      </c>
      <c r="S45" t="n">
        <v>2</v>
      </c>
      <c r="T45" t="n">
        <v>2</v>
      </c>
      <c r="U45" s="2" t="inlineStr">
        <is>
          <t>Dvärgkällmossa
Källmossa</t>
        </is>
      </c>
      <c r="V45">
        <f>HYPERLINK("https://klasma.github.io/Logging_0860/artfynd/A 74390-2021 artfynd.xlsx", "A 74390-2021")</f>
        <v/>
      </c>
      <c r="W45">
        <f>HYPERLINK("https://klasma.github.io/Logging_0860/kartor/A 74390-2021 karta.png", "A 74390-2021")</f>
        <v/>
      </c>
      <c r="Y45">
        <f>HYPERLINK("https://klasma.github.io/Logging_0860/klagomål/A 74390-2021 FSC-klagomål.docx", "A 74390-2021")</f>
        <v/>
      </c>
      <c r="Z45">
        <f>HYPERLINK("https://klasma.github.io/Logging_0860/klagomålsmail/A 74390-2021 FSC-klagomål mail.docx", "A 74390-2021")</f>
        <v/>
      </c>
      <c r="AA45">
        <f>HYPERLINK("https://klasma.github.io/Logging_0860/tillsyn/A 74390-2021 tillsynsbegäran.docx", "A 74390-2021")</f>
        <v/>
      </c>
      <c r="AB45">
        <f>HYPERLINK("https://klasma.github.io/Logging_0860/tillsynsmail/A 74390-2021 tillsynsbegäran mail.docx", "A 74390-2021")</f>
        <v/>
      </c>
    </row>
    <row r="46" ht="15" customHeight="1">
      <c r="A46" t="inlineStr">
        <is>
          <t>A 3312-2026</t>
        </is>
      </c>
      <c r="B46" t="inlineStr">
        <is>
          <t>avverkningsanmälan</t>
        </is>
      </c>
      <c r="C46" t="inlineStr">
        <is>
          <t>Föryngringsavverkning</t>
        </is>
      </c>
      <c r="D46" s="1" t="n">
        <v>46041</v>
      </c>
      <c r="E46" s="1" t="n">
        <v>46217</v>
      </c>
      <c r="F46" t="inlineStr">
        <is>
          <t>KALMAR LÄN</t>
        </is>
      </c>
      <c r="G46" t="inlineStr">
        <is>
          <t>HULTSFRED</t>
        </is>
      </c>
      <c r="I46" t="n">
        <v>2.3</v>
      </c>
      <c r="J46" t="n">
        <v>2</v>
      </c>
      <c r="K46" t="n">
        <v>0</v>
      </c>
      <c r="L46" t="n">
        <v>1</v>
      </c>
      <c r="M46" t="n">
        <v>0</v>
      </c>
      <c r="N46" t="n">
        <v>0</v>
      </c>
      <c r="O46" t="n">
        <v>0</v>
      </c>
      <c r="P46" t="n">
        <v>0</v>
      </c>
      <c r="Q46" t="n">
        <v>1</v>
      </c>
      <c r="R46" t="n">
        <v>0</v>
      </c>
      <c r="S46" t="n">
        <v>2</v>
      </c>
      <c r="T46" t="n">
        <v>3</v>
      </c>
      <c r="U46" s="2" t="inlineStr">
        <is>
          <t>Talltita
Blåsippa</t>
        </is>
      </c>
      <c r="V46">
        <f>HYPERLINK("https://klasma.github.io/Logging_0860/artfynd/A 3312-2026 artfynd.xlsx", "A 3312-2026")</f>
        <v/>
      </c>
      <c r="W46">
        <f>HYPERLINK("https://klasma.github.io/Logging_0860/kartor/A 3312-2026 karta.png", "A 3312-2026")</f>
        <v/>
      </c>
      <c r="Y46">
        <f>HYPERLINK("https://klasma.github.io/Logging_0860/klagomål/A 3312-2026 FSC-klagomål.docx", "A 3312-2026")</f>
        <v/>
      </c>
      <c r="Z46">
        <f>HYPERLINK("https://klasma.github.io/Logging_0860/klagomålsmail/A 3312-2026 FSC-klagomål mail.docx", "A 3312-2026")</f>
        <v/>
      </c>
      <c r="AA46">
        <f>HYPERLINK("https://klasma.github.io/Logging_0860/tillsyn/A 3312-2026 tillsynsbegäran.docx", "A 3312-2026")</f>
        <v/>
      </c>
      <c r="AB46">
        <f>HYPERLINK("https://klasma.github.io/Logging_0860/tillsynsmail/A 3312-2026 tillsynsbegäran mail.docx", "A 3312-2026")</f>
        <v/>
      </c>
      <c r="AC46">
        <f>HYPERLINK("https://klasma.github.io/Logging_0860/fåglar/A 3312-2026 prioriterade fågelarter.docx", "A 3312-2026")</f>
        <v/>
      </c>
    </row>
    <row r="47" ht="15" customHeight="1">
      <c r="A47" t="inlineStr">
        <is>
          <t>A 11406-2026</t>
        </is>
      </c>
      <c r="B47" t="inlineStr">
        <is>
          <t>avverkningsanmälan</t>
        </is>
      </c>
      <c r="C47" t="inlineStr">
        <is>
          <t>Föryngringsavverkning</t>
        </is>
      </c>
      <c r="D47" s="1" t="n">
        <v>46083</v>
      </c>
      <c r="E47" s="1" t="n">
        <v>46217</v>
      </c>
      <c r="F47" t="inlineStr">
        <is>
          <t>KALMAR LÄN</t>
        </is>
      </c>
      <c r="G47" t="inlineStr">
        <is>
          <t>HULTSFRED</t>
        </is>
      </c>
      <c r="I47" t="n">
        <v>7.3</v>
      </c>
      <c r="J47" t="n">
        <v>1</v>
      </c>
      <c r="K47" t="n">
        <v>0</v>
      </c>
      <c r="L47" t="n">
        <v>1</v>
      </c>
      <c r="M47" t="n">
        <v>1</v>
      </c>
      <c r="N47" t="n">
        <v>0</v>
      </c>
      <c r="O47" t="n">
        <v>0</v>
      </c>
      <c r="P47" t="n">
        <v>0</v>
      </c>
      <c r="Q47" t="n">
        <v>2</v>
      </c>
      <c r="R47" t="n">
        <v>1</v>
      </c>
      <c r="S47" t="n">
        <v>2</v>
      </c>
      <c r="T47" t="n">
        <v>2</v>
      </c>
      <c r="U47" s="2" t="inlineStr">
        <is>
          <t>Knärot
Tallticka</t>
        </is>
      </c>
      <c r="V47">
        <f>HYPERLINK("https://klasma.github.io/Logging_0860/artfynd/A 11406-2026 artfynd.xlsx", "A 11406-2026")</f>
        <v/>
      </c>
      <c r="W47">
        <f>HYPERLINK("https://klasma.github.io/Logging_0860/kartor/A 11406-2026 karta.png", "A 11406-2026")</f>
        <v/>
      </c>
      <c r="X47">
        <f>HYPERLINK("https://klasma.github.io/Logging_0860/knärot/A 11406-2026 karta knärot.png", "A 11406-2026")</f>
        <v/>
      </c>
      <c r="Y47">
        <f>HYPERLINK("https://klasma.github.io/Logging_0860/klagomål/A 11406-2026 FSC-klagomål.docx", "A 11406-2026")</f>
        <v/>
      </c>
      <c r="Z47">
        <f>HYPERLINK("https://klasma.github.io/Logging_0860/klagomålsmail/A 11406-2026 FSC-klagomål mail.docx", "A 11406-2026")</f>
        <v/>
      </c>
      <c r="AA47">
        <f>HYPERLINK("https://klasma.github.io/Logging_0860/tillsyn/A 11406-2026 tillsynsbegäran.docx", "A 11406-2026")</f>
        <v/>
      </c>
      <c r="AB47">
        <f>HYPERLINK("https://klasma.github.io/Logging_0860/tillsynsmail/A 11406-2026 tillsynsbegäran mail.docx", "A 11406-2026")</f>
        <v/>
      </c>
    </row>
    <row r="48" ht="15" customHeight="1">
      <c r="A48" t="inlineStr">
        <is>
          <t>A 61709-2022</t>
        </is>
      </c>
      <c r="B48" t="inlineStr">
        <is>
          <t>avverkningsanmälan</t>
        </is>
      </c>
      <c r="C48" t="inlineStr">
        <is>
          <t>Föryngringsavverkning</t>
        </is>
      </c>
      <c r="D48" s="1" t="n">
        <v>44917</v>
      </c>
      <c r="E48" s="1" t="n">
        <v>46217</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s="2" t="inlineStr">
        <is>
          <t>Knärot
Grönpyrola</t>
        </is>
      </c>
      <c r="V48">
        <f>HYPERLINK("https://klasma.github.io/Logging_0860/artfynd/A 61709-2022 artfynd.xlsx", "A 61709-2022")</f>
        <v/>
      </c>
      <c r="W48">
        <f>HYPERLINK("https://klasma.github.io/Logging_0860/kartor/A 61709-2022 karta.png", "A 61709-2022")</f>
        <v/>
      </c>
      <c r="X48">
        <f>HYPERLINK("https://klasma.github.io/Logging_0860/knärot/A 61709-2022 karta knärot.png", "A 61709-2022")</f>
        <v/>
      </c>
      <c r="Y48">
        <f>HYPERLINK("https://klasma.github.io/Logging_0860/klagomål/A 61709-2022 FSC-klagomål.docx", "A 61709-2022")</f>
        <v/>
      </c>
      <c r="Z48">
        <f>HYPERLINK("https://klasma.github.io/Logging_0860/klagomålsmail/A 61709-2022 FSC-klagomål mail.docx", "A 61709-2022")</f>
        <v/>
      </c>
      <c r="AA48">
        <f>HYPERLINK("https://klasma.github.io/Logging_0860/tillsyn/A 61709-2022 tillsynsbegäran.docx", "A 61709-2022")</f>
        <v/>
      </c>
      <c r="AB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46217</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s="2" t="inlineStr">
        <is>
          <t>Stubbspretmossa
Blåsippa</t>
        </is>
      </c>
      <c r="V49">
        <f>HYPERLINK("https://klasma.github.io/Logging_0860/artfynd/A 53862-2022 artfynd.xlsx", "A 53862-2022")</f>
        <v/>
      </c>
      <c r="W49">
        <f>HYPERLINK("https://klasma.github.io/Logging_0860/kartor/A 53862-2022 karta.png", "A 53862-2022")</f>
        <v/>
      </c>
      <c r="Y49">
        <f>HYPERLINK("https://klasma.github.io/Logging_0860/klagomål/A 53862-2022 FSC-klagomål.docx", "A 53862-2022")</f>
        <v/>
      </c>
      <c r="Z49">
        <f>HYPERLINK("https://klasma.github.io/Logging_0860/klagomålsmail/A 53862-2022 FSC-klagomål mail.docx", "A 53862-2022")</f>
        <v/>
      </c>
      <c r="AA49">
        <f>HYPERLINK("https://klasma.github.io/Logging_0860/tillsyn/A 53862-2022 tillsynsbegäran.docx", "A 53862-2022")</f>
        <v/>
      </c>
      <c r="AB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46217</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s="2" t="inlineStr">
        <is>
          <t>Slåtterfibbla
Talltita</t>
        </is>
      </c>
      <c r="V50">
        <f>HYPERLINK("https://klasma.github.io/Logging_0860/artfynd/A 39875-2021 artfynd.xlsx", "A 39875-2021")</f>
        <v/>
      </c>
      <c r="W50">
        <f>HYPERLINK("https://klasma.github.io/Logging_0860/kartor/A 39875-2021 karta.png", "A 39875-2021")</f>
        <v/>
      </c>
      <c r="Y50">
        <f>HYPERLINK("https://klasma.github.io/Logging_0860/klagomål/A 39875-2021 FSC-klagomål.docx", "A 39875-2021")</f>
        <v/>
      </c>
      <c r="Z50">
        <f>HYPERLINK("https://klasma.github.io/Logging_0860/klagomålsmail/A 39875-2021 FSC-klagomål mail.docx", "A 39875-2021")</f>
        <v/>
      </c>
      <c r="AA50">
        <f>HYPERLINK("https://klasma.github.io/Logging_0860/tillsyn/A 39875-2021 tillsynsbegäran.docx", "A 39875-2021")</f>
        <v/>
      </c>
      <c r="AB50">
        <f>HYPERLINK("https://klasma.github.io/Logging_0860/tillsynsmail/A 39875-2021 tillsynsbegäran mail.docx", "A 39875-2021")</f>
        <v/>
      </c>
      <c r="AC50">
        <f>HYPERLINK("https://klasma.github.io/Logging_0860/fåglar/A 39875-2021 prioriterade fågelarter.docx", "A 39875-2021")</f>
        <v/>
      </c>
    </row>
    <row r="51" ht="15" customHeight="1">
      <c r="A51" t="inlineStr">
        <is>
          <t>A 56554-2022</t>
        </is>
      </c>
      <c r="B51" t="inlineStr">
        <is>
          <t>avverkningsanmälan</t>
        </is>
      </c>
      <c r="C51" t="inlineStr">
        <is>
          <t>Föryngringsavverkning</t>
        </is>
      </c>
      <c r="D51" s="1" t="n">
        <v>44893</v>
      </c>
      <c r="E51" s="1" t="n">
        <v>46217</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s="2" t="inlineStr">
        <is>
          <t>Västlig hakmossa
Revlummer</t>
        </is>
      </c>
      <c r="V51">
        <f>HYPERLINK("https://klasma.github.io/Logging_0860/artfynd/A 56554-2022 artfynd.xlsx", "A 56554-2022")</f>
        <v/>
      </c>
      <c r="W51">
        <f>HYPERLINK("https://klasma.github.io/Logging_0860/kartor/A 56554-2022 karta.png", "A 56554-2022")</f>
        <v/>
      </c>
      <c r="Y51">
        <f>HYPERLINK("https://klasma.github.io/Logging_0860/klagomål/A 56554-2022 FSC-klagomål.docx", "A 56554-2022")</f>
        <v/>
      </c>
      <c r="Z51">
        <f>HYPERLINK("https://klasma.github.io/Logging_0860/klagomålsmail/A 56554-2022 FSC-klagomål mail.docx", "A 56554-2022")</f>
        <v/>
      </c>
      <c r="AA51">
        <f>HYPERLINK("https://klasma.github.io/Logging_0860/tillsyn/A 56554-2022 tillsynsbegäran.docx", "A 56554-2022")</f>
        <v/>
      </c>
      <c r="AB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46217</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s="2" t="inlineStr">
        <is>
          <t>Blåsippa
Sångsvan</t>
        </is>
      </c>
      <c r="V52">
        <f>HYPERLINK("https://klasma.github.io/Logging_0860/artfynd/A 7201-2025 artfynd.xlsx", "A 7201-2025")</f>
        <v/>
      </c>
      <c r="W52">
        <f>HYPERLINK("https://klasma.github.io/Logging_0860/kartor/A 7201-2025 karta.png", "A 7201-2025")</f>
        <v/>
      </c>
      <c r="Y52">
        <f>HYPERLINK("https://klasma.github.io/Logging_0860/klagomål/A 7201-2025 FSC-klagomål.docx", "A 7201-2025")</f>
        <v/>
      </c>
      <c r="Z52">
        <f>HYPERLINK("https://klasma.github.io/Logging_0860/klagomålsmail/A 7201-2025 FSC-klagomål mail.docx", "A 7201-2025")</f>
        <v/>
      </c>
      <c r="AA52">
        <f>HYPERLINK("https://klasma.github.io/Logging_0860/tillsyn/A 7201-2025 tillsynsbegäran.docx", "A 7201-2025")</f>
        <v/>
      </c>
      <c r="AB52">
        <f>HYPERLINK("https://klasma.github.io/Logging_0860/tillsynsmail/A 7201-2025 tillsynsbegäran mail.docx", "A 7201-2025")</f>
        <v/>
      </c>
      <c r="AC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46217</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s="2" t="inlineStr">
        <is>
          <t>Gulsparv
Röd glada</t>
        </is>
      </c>
      <c r="V53">
        <f>HYPERLINK("https://klasma.github.io/Logging_0860/artfynd/A 60363-2023 artfynd.xlsx", "A 60363-2023")</f>
        <v/>
      </c>
      <c r="W53">
        <f>HYPERLINK("https://klasma.github.io/Logging_0860/kartor/A 60363-2023 karta.png", "A 60363-2023")</f>
        <v/>
      </c>
      <c r="Y53">
        <f>HYPERLINK("https://klasma.github.io/Logging_0860/klagomål/A 60363-2023 FSC-klagomål.docx", "A 60363-2023")</f>
        <v/>
      </c>
      <c r="Z53">
        <f>HYPERLINK("https://klasma.github.io/Logging_0860/klagomålsmail/A 60363-2023 FSC-klagomål mail.docx", "A 60363-2023")</f>
        <v/>
      </c>
      <c r="AA53">
        <f>HYPERLINK("https://klasma.github.io/Logging_0860/tillsyn/A 60363-2023 tillsynsbegäran.docx", "A 60363-2023")</f>
        <v/>
      </c>
      <c r="AB53">
        <f>HYPERLINK("https://klasma.github.io/Logging_0860/tillsynsmail/A 60363-2023 tillsynsbegäran mail.docx", "A 60363-2023")</f>
        <v/>
      </c>
      <c r="AC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46217</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s="2" t="inlineStr">
        <is>
          <t>Plattlummer
Blåsippa</t>
        </is>
      </c>
      <c r="V54">
        <f>HYPERLINK("https://klasma.github.io/Logging_0860/artfynd/A 57052-2024 artfynd.xlsx", "A 57052-2024")</f>
        <v/>
      </c>
      <c r="W54">
        <f>HYPERLINK("https://klasma.github.io/Logging_0860/kartor/A 57052-2024 karta.png", "A 57052-2024")</f>
        <v/>
      </c>
      <c r="X54">
        <f>HYPERLINK("https://klasma.github.io/Logging_0860/knärot/A 57052-2024 karta knärot.png", "A 57052-2024")</f>
        <v/>
      </c>
      <c r="Y54">
        <f>HYPERLINK("https://klasma.github.io/Logging_0860/klagomål/A 57052-2024 FSC-klagomål.docx", "A 57052-2024")</f>
        <v/>
      </c>
      <c r="Z54">
        <f>HYPERLINK("https://klasma.github.io/Logging_0860/klagomålsmail/A 57052-2024 FSC-klagomål mail.docx", "A 57052-2024")</f>
        <v/>
      </c>
      <c r="AA54">
        <f>HYPERLINK("https://klasma.github.io/Logging_0860/tillsyn/A 57052-2024 tillsynsbegäran.docx", "A 57052-2024")</f>
        <v/>
      </c>
      <c r="AB54">
        <f>HYPERLINK("https://klasma.github.io/Logging_0860/tillsynsmail/A 57052-2024 tillsynsbegäran mail.docx", "A 57052-2024")</f>
        <v/>
      </c>
    </row>
    <row r="55" ht="15" customHeight="1">
      <c r="A55" t="inlineStr">
        <is>
          <t>A 27527-2025</t>
        </is>
      </c>
      <c r="B55" t="inlineStr">
        <is>
          <t>avverkningsanmälan</t>
        </is>
      </c>
      <c r="C55" t="inlineStr">
        <is>
          <t>Föryngringsavverkning</t>
        </is>
      </c>
      <c r="D55" s="1" t="n">
        <v>45813</v>
      </c>
      <c r="E55" s="1" t="n">
        <v>46217</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s="2" t="inlineStr">
        <is>
          <t>Nattskärra
Tjäder</t>
        </is>
      </c>
      <c r="V55">
        <f>HYPERLINK("https://klasma.github.io/Logging_0860/artfynd/A 27527-2025 artfynd.xlsx", "A 27527-2025")</f>
        <v/>
      </c>
      <c r="W55">
        <f>HYPERLINK("https://klasma.github.io/Logging_0860/kartor/A 27527-2025 karta.png", "A 27527-2025")</f>
        <v/>
      </c>
      <c r="Y55">
        <f>HYPERLINK("https://klasma.github.io/Logging_0860/klagomål/A 27527-2025 FSC-klagomål.docx", "A 27527-2025")</f>
        <v/>
      </c>
      <c r="Z55">
        <f>HYPERLINK("https://klasma.github.io/Logging_0860/klagomålsmail/A 27527-2025 FSC-klagomål mail.docx", "A 27527-2025")</f>
        <v/>
      </c>
      <c r="AA55">
        <f>HYPERLINK("https://klasma.github.io/Logging_0860/tillsyn/A 27527-2025 tillsynsbegäran.docx", "A 27527-2025")</f>
        <v/>
      </c>
      <c r="AB55">
        <f>HYPERLINK("https://klasma.github.io/Logging_0860/tillsynsmail/A 27527-2025 tillsynsbegäran mail.docx", "A 27527-2025")</f>
        <v/>
      </c>
      <c r="AC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46217</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46217</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46217</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46217</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46217</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46217</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46217</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4254-2024</t>
        </is>
      </c>
      <c r="B63" t="inlineStr">
        <is>
          <t>avverkningsanmälan</t>
        </is>
      </c>
      <c r="C63" t="inlineStr">
        <is>
          <t>Föryngringsavverkning</t>
        </is>
      </c>
      <c r="D63" s="1" t="n">
        <v>45324</v>
      </c>
      <c r="E63" s="1" t="n">
        <v>46217</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s="2" t="inlineStr">
        <is>
          <t>Knärot</t>
        </is>
      </c>
      <c r="V63">
        <f>HYPERLINK("https://klasma.github.io/Logging_0860/artfynd/A 4254-2024 artfynd.xlsx", "A 4254-2024")</f>
        <v/>
      </c>
      <c r="W63">
        <f>HYPERLINK("https://klasma.github.io/Logging_0860/kartor/A 4254-2024 karta.png", "A 4254-2024")</f>
        <v/>
      </c>
      <c r="X63">
        <f>HYPERLINK("https://klasma.github.io/Logging_0860/knärot/A 4254-2024 karta knärot.png", "A 4254-2024")</f>
        <v/>
      </c>
      <c r="Y63">
        <f>HYPERLINK("https://klasma.github.io/Logging_0860/klagomål/A 4254-2024 FSC-klagomål.docx", "A 4254-2024")</f>
        <v/>
      </c>
      <c r="Z63">
        <f>HYPERLINK("https://klasma.github.io/Logging_0860/klagomålsmail/A 4254-2024 FSC-klagomål mail.docx", "A 4254-2024")</f>
        <v/>
      </c>
      <c r="AA63">
        <f>HYPERLINK("https://klasma.github.io/Logging_0860/tillsyn/A 4254-2024 tillsynsbegäran.docx", "A 4254-2024")</f>
        <v/>
      </c>
      <c r="AB63">
        <f>HYPERLINK("https://klasma.github.io/Logging_0860/tillsynsmail/A 4254-2024 tillsynsbegäran mail.docx", "A 4254-2024")</f>
        <v/>
      </c>
    </row>
    <row r="64" ht="15" customHeight="1">
      <c r="A64" t="inlineStr">
        <is>
          <t>A 16879-2025</t>
        </is>
      </c>
      <c r="B64" t="inlineStr">
        <is>
          <t>avverkningsanmälan</t>
        </is>
      </c>
      <c r="C64" t="inlineStr">
        <is>
          <t>Avverkning för att bevara och utveckla /försöksver</t>
        </is>
      </c>
      <c r="D64" s="1" t="n">
        <v>45755</v>
      </c>
      <c r="E64" s="1" t="n">
        <v>46217</v>
      </c>
      <c r="F64" t="inlineStr">
        <is>
          <t>KALMAR LÄN</t>
        </is>
      </c>
      <c r="G64" t="inlineStr">
        <is>
          <t>HULTSFRED</t>
        </is>
      </c>
      <c r="H64" t="inlineStr">
        <is>
          <t>Sveaskog</t>
        </is>
      </c>
      <c r="I64" t="n">
        <v>2.5</v>
      </c>
      <c r="J64" t="n">
        <v>1</v>
      </c>
      <c r="K64" t="n">
        <v>0</v>
      </c>
      <c r="L64" t="n">
        <v>0</v>
      </c>
      <c r="M64" t="n">
        <v>0</v>
      </c>
      <c r="N64" t="n">
        <v>0</v>
      </c>
      <c r="O64" t="n">
        <v>0</v>
      </c>
      <c r="P64" t="n">
        <v>0</v>
      </c>
      <c r="Q64" t="n">
        <v>0</v>
      </c>
      <c r="R64" t="n">
        <v>0</v>
      </c>
      <c r="S64" t="n">
        <v>1</v>
      </c>
      <c r="T64" t="n">
        <v>1</v>
      </c>
      <c r="U64" s="2" t="inlineStr">
        <is>
          <t>Havsörn</t>
        </is>
      </c>
      <c r="V64">
        <f>HYPERLINK("https://klasma.github.io/Logging_0860/artfynd/A 16879-2025 artfynd.xlsx", "A 16879-2025")</f>
        <v/>
      </c>
      <c r="W64">
        <f>HYPERLINK("https://klasma.github.io/Logging_0860/kartor/A 16879-2025 karta.png", "A 16879-2025")</f>
        <v/>
      </c>
      <c r="Y64">
        <f>HYPERLINK("https://klasma.github.io/Logging_0860/klagomål/A 16879-2025 FSC-klagomål.docx", "A 16879-2025")</f>
        <v/>
      </c>
      <c r="Z64">
        <f>HYPERLINK("https://klasma.github.io/Logging_0860/klagomålsmail/A 16879-2025 FSC-klagomål mail.docx", "A 16879-2025")</f>
        <v/>
      </c>
      <c r="AA64">
        <f>HYPERLINK("https://klasma.github.io/Logging_0860/tillsyn/A 16879-2025 tillsynsbegäran.docx", "A 16879-2025")</f>
        <v/>
      </c>
      <c r="AB64">
        <f>HYPERLINK("https://klasma.github.io/Logging_0860/tillsynsmail/A 16879-2025 tillsynsbegäran mail.docx", "A 16879-2025")</f>
        <v/>
      </c>
      <c r="AC64">
        <f>HYPERLINK("https://klasma.github.io/Logging_0860/fåglar/A 16879-2025 prioriterade fågelarter.docx", "A 16879-2025")</f>
        <v/>
      </c>
    </row>
    <row r="65" ht="15" customHeight="1">
      <c r="A65" t="inlineStr">
        <is>
          <t>A 14290-2024</t>
        </is>
      </c>
      <c r="B65" t="inlineStr">
        <is>
          <t>avverkningsanmälan</t>
        </is>
      </c>
      <c r="C65" t="inlineStr">
        <is>
          <t>Föryngringsavverkning</t>
        </is>
      </c>
      <c r="D65" s="1" t="n">
        <v>45393</v>
      </c>
      <c r="E65" s="1" t="n">
        <v>46217</v>
      </c>
      <c r="F65" t="inlineStr">
        <is>
          <t>KALMAR LÄN</t>
        </is>
      </c>
      <c r="G65" t="inlineStr">
        <is>
          <t>HULTSFRED</t>
        </is>
      </c>
      <c r="I65" t="n">
        <v>4</v>
      </c>
      <c r="J65" t="n">
        <v>1</v>
      </c>
      <c r="K65" t="n">
        <v>0</v>
      </c>
      <c r="L65" t="n">
        <v>0</v>
      </c>
      <c r="M65" t="n">
        <v>0</v>
      </c>
      <c r="N65" t="n">
        <v>0</v>
      </c>
      <c r="O65" t="n">
        <v>0</v>
      </c>
      <c r="P65" t="n">
        <v>0</v>
      </c>
      <c r="Q65" t="n">
        <v>0</v>
      </c>
      <c r="R65" t="n">
        <v>0</v>
      </c>
      <c r="S65" t="n">
        <v>1</v>
      </c>
      <c r="T65" t="n">
        <v>1</v>
      </c>
      <c r="U65" s="2" t="inlineStr">
        <is>
          <t>Blåsippa</t>
        </is>
      </c>
      <c r="V65">
        <f>HYPERLINK("https://klasma.github.io/Logging_0860/artfynd/A 14290-2024 artfynd.xlsx", "A 14290-2024")</f>
        <v/>
      </c>
      <c r="W65">
        <f>HYPERLINK("https://klasma.github.io/Logging_0860/kartor/A 14290-2024 karta.png", "A 14290-2024")</f>
        <v/>
      </c>
      <c r="Y65">
        <f>HYPERLINK("https://klasma.github.io/Logging_0860/klagomål/A 14290-2024 FSC-klagomål.docx", "A 14290-2024")</f>
        <v/>
      </c>
      <c r="Z65">
        <f>HYPERLINK("https://klasma.github.io/Logging_0860/klagomålsmail/A 14290-2024 FSC-klagomål mail.docx", "A 14290-2024")</f>
        <v/>
      </c>
      <c r="AA65">
        <f>HYPERLINK("https://klasma.github.io/Logging_0860/tillsyn/A 14290-2024 tillsynsbegäran.docx", "A 14290-2024")</f>
        <v/>
      </c>
      <c r="AB65">
        <f>HYPERLINK("https://klasma.github.io/Logging_0860/tillsynsmail/A 14290-2024 tillsynsbegäran mail.docx", "A 14290-2024")</f>
        <v/>
      </c>
    </row>
    <row r="66" ht="15" customHeight="1">
      <c r="A66" t="inlineStr">
        <is>
          <t>A 32381-2024</t>
        </is>
      </c>
      <c r="B66" t="inlineStr">
        <is>
          <t>avverkningsanmälan</t>
        </is>
      </c>
      <c r="C66" t="inlineStr">
        <is>
          <t>Föryngringsavverkning</t>
        </is>
      </c>
      <c r="D66" s="1" t="n">
        <v>45512</v>
      </c>
      <c r="E66" s="1" t="n">
        <v>46217</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s="2" t="inlineStr">
        <is>
          <t>Spindelört</t>
        </is>
      </c>
      <c r="V66">
        <f>HYPERLINK("https://klasma.github.io/Logging_0860/artfynd/A 32381-2024 artfynd.xlsx", "A 32381-2024")</f>
        <v/>
      </c>
      <c r="W66">
        <f>HYPERLINK("https://klasma.github.io/Logging_0860/kartor/A 32381-2024 karta.png", "A 32381-2024")</f>
        <v/>
      </c>
      <c r="Y66">
        <f>HYPERLINK("https://klasma.github.io/Logging_0860/klagomål/A 32381-2024 FSC-klagomål.docx", "A 32381-2024")</f>
        <v/>
      </c>
      <c r="Z66">
        <f>HYPERLINK("https://klasma.github.io/Logging_0860/klagomålsmail/A 32381-2024 FSC-klagomål mail.docx", "A 32381-2024")</f>
        <v/>
      </c>
      <c r="AA66">
        <f>HYPERLINK("https://klasma.github.io/Logging_0860/tillsyn/A 32381-2024 tillsynsbegäran.docx", "A 32381-2024")</f>
        <v/>
      </c>
      <c r="AB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46217</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s="2" t="inlineStr">
        <is>
          <t>Knärot</t>
        </is>
      </c>
      <c r="V67">
        <f>HYPERLINK("https://klasma.github.io/Logging_0860/artfynd/A 50296-2023 artfynd.xlsx", "A 50296-2023")</f>
        <v/>
      </c>
      <c r="W67">
        <f>HYPERLINK("https://klasma.github.io/Logging_0860/kartor/A 50296-2023 karta.png", "A 50296-2023")</f>
        <v/>
      </c>
      <c r="X67">
        <f>HYPERLINK("https://klasma.github.io/Logging_0860/knärot/A 50296-2023 karta knärot.png", "A 50296-2023")</f>
        <v/>
      </c>
      <c r="Y67">
        <f>HYPERLINK("https://klasma.github.io/Logging_0860/klagomål/A 50296-2023 FSC-klagomål.docx", "A 50296-2023")</f>
        <v/>
      </c>
      <c r="Z67">
        <f>HYPERLINK("https://klasma.github.io/Logging_0860/klagomålsmail/A 50296-2023 FSC-klagomål mail.docx", "A 50296-2023")</f>
        <v/>
      </c>
      <c r="AA67">
        <f>HYPERLINK("https://klasma.github.io/Logging_0860/tillsyn/A 50296-2023 tillsynsbegäran.docx", "A 50296-2023")</f>
        <v/>
      </c>
      <c r="AB67">
        <f>HYPERLINK("https://klasma.github.io/Logging_0860/tillsynsmail/A 50296-2023 tillsynsbegäran mail.docx", "A 50296-2023")</f>
        <v/>
      </c>
    </row>
    <row r="68" ht="15" customHeight="1">
      <c r="A68" t="inlineStr">
        <is>
          <t>A 49265-2024</t>
        </is>
      </c>
      <c r="B68" t="inlineStr">
        <is>
          <t>avverkningsanmälan</t>
        </is>
      </c>
      <c r="C68" t="inlineStr">
        <is>
          <t>Föryngringsavverkning</t>
        </is>
      </c>
      <c r="D68" s="1" t="n">
        <v>45595</v>
      </c>
      <c r="E68" s="1" t="n">
        <v>46217</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s="2" t="inlineStr">
        <is>
          <t>Tennfibbla</t>
        </is>
      </c>
      <c r="V68">
        <f>HYPERLINK("https://klasma.github.io/Logging_0860/artfynd/A 49265-2024 artfynd.xlsx", "A 49265-2024")</f>
        <v/>
      </c>
      <c r="W68">
        <f>HYPERLINK("https://klasma.github.io/Logging_0860/kartor/A 49265-2024 karta.png", "A 49265-2024")</f>
        <v/>
      </c>
      <c r="Y68">
        <f>HYPERLINK("https://klasma.github.io/Logging_0860/klagomål/A 49265-2024 FSC-klagomål.docx", "A 49265-2024")</f>
        <v/>
      </c>
      <c r="Z68">
        <f>HYPERLINK("https://klasma.github.io/Logging_0860/klagomålsmail/A 49265-2024 FSC-klagomål mail.docx", "A 49265-2024")</f>
        <v/>
      </c>
      <c r="AA68">
        <f>HYPERLINK("https://klasma.github.io/Logging_0860/tillsyn/A 49265-2024 tillsynsbegäran.docx", "A 49265-2024")</f>
        <v/>
      </c>
      <c r="AB68">
        <f>HYPERLINK("https://klasma.github.io/Logging_0860/tillsynsmail/A 49265-2024 tillsynsbegäran mail.docx", "A 49265-2024")</f>
        <v/>
      </c>
    </row>
    <row r="69" ht="15" customHeight="1">
      <c r="A69" t="inlineStr">
        <is>
          <t>A 4257-2024</t>
        </is>
      </c>
      <c r="B69" t="inlineStr">
        <is>
          <t>avverkningsanmälan</t>
        </is>
      </c>
      <c r="C69" t="inlineStr">
        <is>
          <t>Föryngringsavverkning</t>
        </is>
      </c>
      <c r="D69" s="1" t="n">
        <v>45324</v>
      </c>
      <c r="E69" s="1" t="n">
        <v>46217</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s="2" t="inlineStr">
        <is>
          <t>Knärot</t>
        </is>
      </c>
      <c r="V69">
        <f>HYPERLINK("https://klasma.github.io/Logging_0860/artfynd/A 4257-2024 artfynd.xlsx", "A 4257-2024")</f>
        <v/>
      </c>
      <c r="W69">
        <f>HYPERLINK("https://klasma.github.io/Logging_0860/kartor/A 4257-2024 karta.png", "A 4257-2024")</f>
        <v/>
      </c>
      <c r="X69">
        <f>HYPERLINK("https://klasma.github.io/Logging_0860/knärot/A 4257-2024 karta knärot.png", "A 4257-2024")</f>
        <v/>
      </c>
      <c r="Y69">
        <f>HYPERLINK("https://klasma.github.io/Logging_0860/klagomål/A 4257-2024 FSC-klagomål.docx", "A 4257-2024")</f>
        <v/>
      </c>
      <c r="Z69">
        <f>HYPERLINK("https://klasma.github.io/Logging_0860/klagomålsmail/A 4257-2024 FSC-klagomål mail.docx", "A 4257-2024")</f>
        <v/>
      </c>
      <c r="AA69">
        <f>HYPERLINK("https://klasma.github.io/Logging_0860/tillsyn/A 4257-2024 tillsynsbegäran.docx", "A 4257-2024")</f>
        <v/>
      </c>
      <c r="AB69">
        <f>HYPERLINK("https://klasma.github.io/Logging_0860/tillsynsmail/A 4257-2024 tillsynsbegäran mail.docx", "A 4257-2024")</f>
        <v/>
      </c>
    </row>
    <row r="70" ht="15" customHeight="1">
      <c r="A70" t="inlineStr">
        <is>
          <t>A 21268-2022</t>
        </is>
      </c>
      <c r="B70" t="inlineStr">
        <is>
          <t>avverkningsanmälan</t>
        </is>
      </c>
      <c r="C70" t="inlineStr">
        <is>
          <t>Avverkning för annat ändamål</t>
        </is>
      </c>
      <c r="D70" s="1" t="n">
        <v>44705</v>
      </c>
      <c r="E70" s="1" t="n">
        <v>46217</v>
      </c>
      <c r="F70" t="inlineStr">
        <is>
          <t>KALMAR LÄN</t>
        </is>
      </c>
      <c r="G70" t="inlineStr">
        <is>
          <t>HULTSFRED</t>
        </is>
      </c>
      <c r="I70" t="n">
        <v>1.8</v>
      </c>
      <c r="J70" t="n">
        <v>0</v>
      </c>
      <c r="K70" t="n">
        <v>0</v>
      </c>
      <c r="L70" t="n">
        <v>1</v>
      </c>
      <c r="M70" t="n">
        <v>0</v>
      </c>
      <c r="N70" t="n">
        <v>0</v>
      </c>
      <c r="O70" t="n">
        <v>0</v>
      </c>
      <c r="P70" t="n">
        <v>0</v>
      </c>
      <c r="Q70" t="n">
        <v>1</v>
      </c>
      <c r="R70" t="n">
        <v>0</v>
      </c>
      <c r="S70" t="n">
        <v>1</v>
      </c>
      <c r="T70" t="n">
        <v>1</v>
      </c>
      <c r="U70" s="2" t="inlineStr">
        <is>
          <t>Strimsporrebagge</t>
        </is>
      </c>
      <c r="V70">
        <f>HYPERLINK("https://klasma.github.io/Logging_0860/artfynd/A 21268-2022 artfynd.xlsx", "A 21268-2022")</f>
        <v/>
      </c>
      <c r="W70">
        <f>HYPERLINK("https://klasma.github.io/Logging_0860/kartor/A 21268-2022 karta.png", "A 21268-2022")</f>
        <v/>
      </c>
      <c r="Y70">
        <f>HYPERLINK("https://klasma.github.io/Logging_0860/klagomål/A 21268-2022 FSC-klagomål.docx", "A 21268-2022")</f>
        <v/>
      </c>
      <c r="Z70">
        <f>HYPERLINK("https://klasma.github.io/Logging_0860/klagomålsmail/A 21268-2022 FSC-klagomål mail.docx", "A 21268-2022")</f>
        <v/>
      </c>
      <c r="AA70">
        <f>HYPERLINK("https://klasma.github.io/Logging_0860/tillsyn/A 21268-2022 tillsynsbegäran.docx", "A 21268-2022")</f>
        <v/>
      </c>
      <c r="AB70">
        <f>HYPERLINK("https://klasma.github.io/Logging_0860/tillsynsmail/A 21268-2022 tillsynsbegäran mail.docx", "A 21268-2022")</f>
        <v/>
      </c>
    </row>
    <row r="71" ht="15" customHeight="1">
      <c r="A71" t="inlineStr">
        <is>
          <t>A 14095-2023</t>
        </is>
      </c>
      <c r="B71" t="inlineStr">
        <is>
          <t>avverkningsanmälan</t>
        </is>
      </c>
      <c r="C71" t="inlineStr">
        <is>
          <t>Föryngringsavverkning</t>
        </is>
      </c>
      <c r="D71" s="1" t="n">
        <v>45009</v>
      </c>
      <c r="E71" s="1" t="n">
        <v>46217</v>
      </c>
      <c r="F71" t="inlineStr">
        <is>
          <t>KALMAR LÄN</t>
        </is>
      </c>
      <c r="G71" t="inlineStr">
        <is>
          <t>HULTSFRED</t>
        </is>
      </c>
      <c r="I71" t="n">
        <v>5.7</v>
      </c>
      <c r="J71" t="n">
        <v>0</v>
      </c>
      <c r="K71" t="n">
        <v>1</v>
      </c>
      <c r="L71" t="n">
        <v>0</v>
      </c>
      <c r="M71" t="n">
        <v>0</v>
      </c>
      <c r="N71" t="n">
        <v>0</v>
      </c>
      <c r="O71" t="n">
        <v>0</v>
      </c>
      <c r="P71" t="n">
        <v>0</v>
      </c>
      <c r="Q71" t="n">
        <v>0</v>
      </c>
      <c r="R71" t="n">
        <v>0</v>
      </c>
      <c r="S71" t="n">
        <v>1</v>
      </c>
      <c r="T71" t="n">
        <v>1</v>
      </c>
      <c r="U71" s="2" t="inlineStr">
        <is>
          <t>Dvärgkällmossa</t>
        </is>
      </c>
      <c r="V71">
        <f>HYPERLINK("https://klasma.github.io/Logging_0860/artfynd/A 14095-2023 artfynd.xlsx", "A 14095-2023")</f>
        <v/>
      </c>
      <c r="W71">
        <f>HYPERLINK("https://klasma.github.io/Logging_0860/kartor/A 14095-2023 karta.png", "A 14095-2023")</f>
        <v/>
      </c>
      <c r="Y71">
        <f>HYPERLINK("https://klasma.github.io/Logging_0860/klagomål/A 14095-2023 FSC-klagomål.docx", "A 14095-2023")</f>
        <v/>
      </c>
      <c r="Z71">
        <f>HYPERLINK("https://klasma.github.io/Logging_0860/klagomålsmail/A 14095-2023 FSC-klagomål mail.docx", "A 14095-2023")</f>
        <v/>
      </c>
      <c r="AA71">
        <f>HYPERLINK("https://klasma.github.io/Logging_0860/tillsyn/A 14095-2023 tillsynsbegäran.docx", "A 14095-2023")</f>
        <v/>
      </c>
      <c r="AB71">
        <f>HYPERLINK("https://klasma.github.io/Logging_0860/tillsynsmail/A 14095-2023 tillsynsbegäran mail.docx", "A 14095-2023")</f>
        <v/>
      </c>
    </row>
    <row r="72" ht="15" customHeight="1">
      <c r="A72" t="inlineStr">
        <is>
          <t>A 48938-2024</t>
        </is>
      </c>
      <c r="B72" t="inlineStr">
        <is>
          <t>avverkningsanmälan</t>
        </is>
      </c>
      <c r="C72" t="inlineStr">
        <is>
          <t>Föryngringsavverkning</t>
        </is>
      </c>
      <c r="D72" s="1" t="n">
        <v>45594</v>
      </c>
      <c r="E72" s="1" t="n">
        <v>46217</v>
      </c>
      <c r="F72" t="inlineStr">
        <is>
          <t>KALMAR LÄN</t>
        </is>
      </c>
      <c r="G72" t="inlineStr">
        <is>
          <t>HULTSFRED</t>
        </is>
      </c>
      <c r="I72" t="n">
        <v>1.1</v>
      </c>
      <c r="J72" t="n">
        <v>1</v>
      </c>
      <c r="K72" t="n">
        <v>0</v>
      </c>
      <c r="L72" t="n">
        <v>0</v>
      </c>
      <c r="M72" t="n">
        <v>0</v>
      </c>
      <c r="N72" t="n">
        <v>0</v>
      </c>
      <c r="O72" t="n">
        <v>0</v>
      </c>
      <c r="P72" t="n">
        <v>0</v>
      </c>
      <c r="Q72" t="n">
        <v>0</v>
      </c>
      <c r="R72" t="n">
        <v>0</v>
      </c>
      <c r="S72" t="n">
        <v>1</v>
      </c>
      <c r="T72" t="n">
        <v>1</v>
      </c>
      <c r="U72" s="2" t="inlineStr">
        <is>
          <t>Järpe</t>
        </is>
      </c>
      <c r="V72">
        <f>HYPERLINK("https://klasma.github.io/Logging_0860/artfynd/A 48938-2024 artfynd.xlsx", "A 48938-2024")</f>
        <v/>
      </c>
      <c r="W72">
        <f>HYPERLINK("https://klasma.github.io/Logging_0860/kartor/A 48938-2024 karta.png", "A 48938-2024")</f>
        <v/>
      </c>
      <c r="Y72">
        <f>HYPERLINK("https://klasma.github.io/Logging_0860/klagomål/A 48938-2024 FSC-klagomål.docx", "A 48938-2024")</f>
        <v/>
      </c>
      <c r="Z72">
        <f>HYPERLINK("https://klasma.github.io/Logging_0860/klagomålsmail/A 48938-2024 FSC-klagomål mail.docx", "A 48938-2024")</f>
        <v/>
      </c>
      <c r="AA72">
        <f>HYPERLINK("https://klasma.github.io/Logging_0860/tillsyn/A 48938-2024 tillsynsbegäran.docx", "A 48938-2024")</f>
        <v/>
      </c>
      <c r="AB72">
        <f>HYPERLINK("https://klasma.github.io/Logging_0860/tillsynsmail/A 48938-2024 tillsynsbegäran mail.docx", "A 48938-2024")</f>
        <v/>
      </c>
      <c r="AC72">
        <f>HYPERLINK("https://klasma.github.io/Logging_0860/fåglar/A 48938-2024 prioriterade fågelarter.docx", "A 48938-2024")</f>
        <v/>
      </c>
    </row>
    <row r="73" ht="15" customHeight="1">
      <c r="A73" t="inlineStr">
        <is>
          <t>A 37916-2022</t>
        </is>
      </c>
      <c r="B73" t="inlineStr">
        <is>
          <t>avverkningsanmälan</t>
        </is>
      </c>
      <c r="C73" t="inlineStr">
        <is>
          <t>Föryngringsavverkning</t>
        </is>
      </c>
      <c r="D73" s="1" t="n">
        <v>44811</v>
      </c>
      <c r="E73" s="1" t="n">
        <v>46217</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s="2" t="inlineStr">
        <is>
          <t>Blåsippa</t>
        </is>
      </c>
      <c r="V73">
        <f>HYPERLINK("https://klasma.github.io/Logging_0860/artfynd/A 37916-2022 artfynd.xlsx", "A 37916-2022")</f>
        <v/>
      </c>
      <c r="W73">
        <f>HYPERLINK("https://klasma.github.io/Logging_0860/kartor/A 37916-2022 karta.png", "A 37916-2022")</f>
        <v/>
      </c>
      <c r="Y73">
        <f>HYPERLINK("https://klasma.github.io/Logging_0860/klagomål/A 37916-2022 FSC-klagomål.docx", "A 37916-2022")</f>
        <v/>
      </c>
      <c r="Z73">
        <f>HYPERLINK("https://klasma.github.io/Logging_0860/klagomålsmail/A 37916-2022 FSC-klagomål mail.docx", "A 37916-2022")</f>
        <v/>
      </c>
      <c r="AA73">
        <f>HYPERLINK("https://klasma.github.io/Logging_0860/tillsyn/A 37916-2022 tillsynsbegäran.docx", "A 37916-2022")</f>
        <v/>
      </c>
      <c r="AB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46217</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s="2" t="inlineStr">
        <is>
          <t>Tibast</t>
        </is>
      </c>
      <c r="V74">
        <f>HYPERLINK("https://klasma.github.io/Logging_0860/artfynd/A 52690-2023 artfynd.xlsx", "A 52690-2023")</f>
        <v/>
      </c>
      <c r="W74">
        <f>HYPERLINK("https://klasma.github.io/Logging_0860/kartor/A 52690-2023 karta.png", "A 52690-2023")</f>
        <v/>
      </c>
      <c r="Y74">
        <f>HYPERLINK("https://klasma.github.io/Logging_0860/klagomål/A 52690-2023 FSC-klagomål.docx", "A 52690-2023")</f>
        <v/>
      </c>
      <c r="Z74">
        <f>HYPERLINK("https://klasma.github.io/Logging_0860/klagomålsmail/A 52690-2023 FSC-klagomål mail.docx", "A 52690-2023")</f>
        <v/>
      </c>
      <c r="AA74">
        <f>HYPERLINK("https://klasma.github.io/Logging_0860/tillsyn/A 52690-2023 tillsynsbegäran.docx", "A 52690-2023")</f>
        <v/>
      </c>
      <c r="AB74">
        <f>HYPERLINK("https://klasma.github.io/Logging_0860/tillsynsmail/A 52690-2023 tillsynsbegäran mail.docx", "A 52690-2023")</f>
        <v/>
      </c>
    </row>
    <row r="75" ht="15" customHeight="1">
      <c r="A75" t="inlineStr">
        <is>
          <t>A 9328-2025</t>
        </is>
      </c>
      <c r="B75" t="inlineStr">
        <is>
          <t>avverkningsanmälan</t>
        </is>
      </c>
      <c r="C75" t="inlineStr">
        <is>
          <t>Föryngringsavverkning</t>
        </is>
      </c>
      <c r="D75" s="1" t="n">
        <v>45714</v>
      </c>
      <c r="E75" s="1" t="n">
        <v>46217</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s="2" t="inlineStr">
        <is>
          <t>Smal sågmossa</t>
        </is>
      </c>
      <c r="V75">
        <f>HYPERLINK("https://klasma.github.io/Logging_0860/artfynd/A 9328-2025 artfynd.xlsx", "A 9328-2025")</f>
        <v/>
      </c>
      <c r="W75">
        <f>HYPERLINK("https://klasma.github.io/Logging_0860/kartor/A 9328-2025 karta.png", "A 9328-2025")</f>
        <v/>
      </c>
      <c r="Y75">
        <f>HYPERLINK("https://klasma.github.io/Logging_0860/klagomål/A 9328-2025 FSC-klagomål.docx", "A 9328-2025")</f>
        <v/>
      </c>
      <c r="Z75">
        <f>HYPERLINK("https://klasma.github.io/Logging_0860/klagomålsmail/A 9328-2025 FSC-klagomål mail.docx", "A 9328-2025")</f>
        <v/>
      </c>
      <c r="AA75">
        <f>HYPERLINK("https://klasma.github.io/Logging_0860/tillsyn/A 9328-2025 tillsynsbegäran.docx", "A 9328-2025")</f>
        <v/>
      </c>
      <c r="AB75">
        <f>HYPERLINK("https://klasma.github.io/Logging_0860/tillsynsmail/A 9328-2025 tillsynsbegäran mail.docx", "A 9328-2025")</f>
        <v/>
      </c>
    </row>
    <row r="76" ht="15" customHeight="1">
      <c r="A76" t="inlineStr">
        <is>
          <t>A 4677-2024</t>
        </is>
      </c>
      <c r="B76" t="inlineStr">
        <is>
          <t>avverkningsanmälan</t>
        </is>
      </c>
      <c r="C76" t="inlineStr">
        <is>
          <t>Föryngringsavverkning</t>
        </is>
      </c>
      <c r="D76" s="1" t="n">
        <v>45328</v>
      </c>
      <c r="E76" s="1" t="n">
        <v>46217</v>
      </c>
      <c r="F76" t="inlineStr">
        <is>
          <t>KALMAR LÄN</t>
        </is>
      </c>
      <c r="G76" t="inlineStr">
        <is>
          <t>HULTSFRED</t>
        </is>
      </c>
      <c r="I76" t="n">
        <v>1.7</v>
      </c>
      <c r="J76" t="n">
        <v>1</v>
      </c>
      <c r="K76" t="n">
        <v>0</v>
      </c>
      <c r="L76" t="n">
        <v>0</v>
      </c>
      <c r="M76" t="n">
        <v>1</v>
      </c>
      <c r="N76" t="n">
        <v>0</v>
      </c>
      <c r="O76" t="n">
        <v>0</v>
      </c>
      <c r="P76" t="n">
        <v>0</v>
      </c>
      <c r="Q76" t="n">
        <v>1</v>
      </c>
      <c r="R76" t="n">
        <v>1</v>
      </c>
      <c r="S76" t="n">
        <v>1</v>
      </c>
      <c r="T76" t="n">
        <v>1</v>
      </c>
      <c r="U76" s="2" t="inlineStr">
        <is>
          <t>Knärot</t>
        </is>
      </c>
      <c r="V76">
        <f>HYPERLINK("https://klasma.github.io/Logging_0860/artfynd/A 4677-2024 artfynd.xlsx", "A 4677-2024")</f>
        <v/>
      </c>
      <c r="W76">
        <f>HYPERLINK("https://klasma.github.io/Logging_0860/kartor/A 4677-2024 karta.png", "A 4677-2024")</f>
        <v/>
      </c>
      <c r="X76">
        <f>HYPERLINK("https://klasma.github.io/Logging_0860/knärot/A 4677-2024 karta knärot.png", "A 4677-2024")</f>
        <v/>
      </c>
      <c r="Y76">
        <f>HYPERLINK("https://klasma.github.io/Logging_0860/klagomål/A 4677-2024 FSC-klagomål.docx", "A 4677-2024")</f>
        <v/>
      </c>
      <c r="Z76">
        <f>HYPERLINK("https://klasma.github.io/Logging_0860/klagomålsmail/A 4677-2024 FSC-klagomål mail.docx", "A 4677-2024")</f>
        <v/>
      </c>
      <c r="AA76">
        <f>HYPERLINK("https://klasma.github.io/Logging_0860/tillsyn/A 4677-2024 tillsynsbegäran.docx", "A 4677-2024")</f>
        <v/>
      </c>
      <c r="AB76">
        <f>HYPERLINK("https://klasma.github.io/Logging_0860/tillsynsmail/A 4677-2024 tillsynsbegäran mail.docx", "A 4677-2024")</f>
        <v/>
      </c>
    </row>
    <row r="77" ht="15" customHeight="1">
      <c r="A77" t="inlineStr">
        <is>
          <t>A 47350-2021</t>
        </is>
      </c>
      <c r="B77" t="inlineStr">
        <is>
          <t>avverkningsanmälan</t>
        </is>
      </c>
      <c r="C77" t="inlineStr">
        <is>
          <t>Föryngringsavverkning</t>
        </is>
      </c>
      <c r="D77" s="1" t="n">
        <v>44447</v>
      </c>
      <c r="E77" s="1" t="n">
        <v>46217</v>
      </c>
      <c r="F77" t="inlineStr">
        <is>
          <t>KALMAR LÄN</t>
        </is>
      </c>
      <c r="G77" t="inlineStr">
        <is>
          <t>HULTSFRED</t>
        </is>
      </c>
      <c r="H77" t="inlineStr">
        <is>
          <t>Kommuner</t>
        </is>
      </c>
      <c r="I77" t="n">
        <v>1.1</v>
      </c>
      <c r="J77" t="n">
        <v>0</v>
      </c>
      <c r="K77" t="n">
        <v>0</v>
      </c>
      <c r="L77" t="n">
        <v>1</v>
      </c>
      <c r="M77" t="n">
        <v>0</v>
      </c>
      <c r="N77" t="n">
        <v>0</v>
      </c>
      <c r="O77" t="n">
        <v>0</v>
      </c>
      <c r="P77" t="n">
        <v>0</v>
      </c>
      <c r="Q77" t="n">
        <v>1</v>
      </c>
      <c r="R77" t="n">
        <v>0</v>
      </c>
      <c r="S77" t="n">
        <v>1</v>
      </c>
      <c r="T77" t="n">
        <v>1</v>
      </c>
      <c r="U77" s="2" t="inlineStr">
        <is>
          <t>Sydspärgel</t>
        </is>
      </c>
      <c r="V77">
        <f>HYPERLINK("https://klasma.github.io/Logging_0860/artfynd/A 47350-2021 artfynd.xlsx", "A 47350-2021")</f>
        <v/>
      </c>
      <c r="W77">
        <f>HYPERLINK("https://klasma.github.io/Logging_0860/kartor/A 47350-2021 karta.png", "A 47350-2021")</f>
        <v/>
      </c>
      <c r="Y77">
        <f>HYPERLINK("https://klasma.github.io/Logging_0860/klagomål/A 47350-2021 FSC-klagomål.docx", "A 47350-2021")</f>
        <v/>
      </c>
      <c r="Z77">
        <f>HYPERLINK("https://klasma.github.io/Logging_0860/klagomålsmail/A 47350-2021 FSC-klagomål mail.docx", "A 47350-2021")</f>
        <v/>
      </c>
      <c r="AA77">
        <f>HYPERLINK("https://klasma.github.io/Logging_0860/tillsyn/A 47350-2021 tillsynsbegäran.docx", "A 47350-2021")</f>
        <v/>
      </c>
      <c r="AB77">
        <f>HYPERLINK("https://klasma.github.io/Logging_0860/tillsynsmail/A 47350-2021 tillsynsbegäran mail.docx", "A 47350-2021")</f>
        <v/>
      </c>
    </row>
    <row r="78" ht="15" customHeight="1">
      <c r="A78" t="inlineStr">
        <is>
          <t>A 15440-2023</t>
        </is>
      </c>
      <c r="B78" t="inlineStr">
        <is>
          <t>avverkningsanmälan</t>
        </is>
      </c>
      <c r="C78" t="inlineStr">
        <is>
          <t>Föryngringsavverkning</t>
        </is>
      </c>
      <c r="D78" s="1" t="n">
        <v>45016</v>
      </c>
      <c r="E78" s="1" t="n">
        <v>46217</v>
      </c>
      <c r="F78" t="inlineStr">
        <is>
          <t>KALMAR LÄN</t>
        </is>
      </c>
      <c r="G78" t="inlineStr">
        <is>
          <t>HULTSFRED</t>
        </is>
      </c>
      <c r="I78" t="n">
        <v>3.1</v>
      </c>
      <c r="J78" t="n">
        <v>1</v>
      </c>
      <c r="K78" t="n">
        <v>0</v>
      </c>
      <c r="L78" t="n">
        <v>0</v>
      </c>
      <c r="M78" t="n">
        <v>0</v>
      </c>
      <c r="N78" t="n">
        <v>0</v>
      </c>
      <c r="O78" t="n">
        <v>0</v>
      </c>
      <c r="P78" t="n">
        <v>0</v>
      </c>
      <c r="Q78" t="n">
        <v>0</v>
      </c>
      <c r="R78" t="n">
        <v>0</v>
      </c>
      <c r="S78" t="n">
        <v>1</v>
      </c>
      <c r="T78" t="n">
        <v>1</v>
      </c>
      <c r="U78" s="2" t="inlineStr">
        <is>
          <t>Spillkråka</t>
        </is>
      </c>
      <c r="V78">
        <f>HYPERLINK("https://klasma.github.io/Logging_0860/artfynd/A 15440-2023 artfynd.xlsx", "A 15440-2023")</f>
        <v/>
      </c>
      <c r="W78">
        <f>HYPERLINK("https://klasma.github.io/Logging_0860/kartor/A 15440-2023 karta.png", "A 15440-2023")</f>
        <v/>
      </c>
      <c r="Y78">
        <f>HYPERLINK("https://klasma.github.io/Logging_0860/klagomål/A 15440-2023 FSC-klagomål.docx", "A 15440-2023")</f>
        <v/>
      </c>
      <c r="Z78">
        <f>HYPERLINK("https://klasma.github.io/Logging_0860/klagomålsmail/A 15440-2023 FSC-klagomål mail.docx", "A 15440-2023")</f>
        <v/>
      </c>
      <c r="AA78">
        <f>HYPERLINK("https://klasma.github.io/Logging_0860/tillsyn/A 15440-2023 tillsynsbegäran.docx", "A 15440-2023")</f>
        <v/>
      </c>
      <c r="AB78">
        <f>HYPERLINK("https://klasma.github.io/Logging_0860/tillsynsmail/A 15440-2023 tillsynsbegäran mail.docx", "A 15440-2023")</f>
        <v/>
      </c>
      <c r="AC78">
        <f>HYPERLINK("https://klasma.github.io/Logging_0860/fåglar/A 15440-2023 prioriterade fågelarter.docx", "A 15440-2023")</f>
        <v/>
      </c>
    </row>
    <row r="79" ht="15" customHeight="1">
      <c r="A79" t="inlineStr">
        <is>
          <t>A 42773-2024</t>
        </is>
      </c>
      <c r="B79" t="inlineStr">
        <is>
          <t>avverkningsanmälan</t>
        </is>
      </c>
      <c r="C79" t="inlineStr">
        <is>
          <t>Avverkning för annat ändamål</t>
        </is>
      </c>
      <c r="D79" s="1" t="n">
        <v>45566</v>
      </c>
      <c r="E79" s="1" t="n">
        <v>46217</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s="2" t="inlineStr">
        <is>
          <t>Lungrot</t>
        </is>
      </c>
      <c r="V79">
        <f>HYPERLINK("https://klasma.github.io/Logging_0860/artfynd/A 42773-2024 artfynd.xlsx", "A 42773-2024")</f>
        <v/>
      </c>
      <c r="W79">
        <f>HYPERLINK("https://klasma.github.io/Logging_0860/kartor/A 42773-2024 karta.png", "A 42773-2024")</f>
        <v/>
      </c>
      <c r="Y79">
        <f>HYPERLINK("https://klasma.github.io/Logging_0860/klagomål/A 42773-2024 FSC-klagomål.docx", "A 42773-2024")</f>
        <v/>
      </c>
      <c r="Z79">
        <f>HYPERLINK("https://klasma.github.io/Logging_0860/klagomålsmail/A 42773-2024 FSC-klagomål mail.docx", "A 42773-2024")</f>
        <v/>
      </c>
      <c r="AA79">
        <f>HYPERLINK("https://klasma.github.io/Logging_0860/tillsyn/A 42773-2024 tillsynsbegäran.docx", "A 42773-2024")</f>
        <v/>
      </c>
      <c r="AB79">
        <f>HYPERLINK("https://klasma.github.io/Logging_0860/tillsynsmail/A 42773-2024 tillsynsbegäran mail.docx", "A 42773-2024")</f>
        <v/>
      </c>
    </row>
    <row r="80" ht="15" customHeight="1">
      <c r="A80" t="inlineStr">
        <is>
          <t>A 54307-2025</t>
        </is>
      </c>
      <c r="B80" t="inlineStr">
        <is>
          <t>avverkningsanmälan</t>
        </is>
      </c>
      <c r="C80" t="inlineStr">
        <is>
          <t>Föryngringsavverkning</t>
        </is>
      </c>
      <c r="D80" s="1" t="n">
        <v>45965</v>
      </c>
      <c r="E80" s="1" t="n">
        <v>46217</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s="2" t="inlineStr">
        <is>
          <t>Järnsparv</t>
        </is>
      </c>
      <c r="V80">
        <f>HYPERLINK("https://klasma.github.io/Logging_0860/artfynd/A 54307-2025 artfynd.xlsx", "A 54307-2025")</f>
        <v/>
      </c>
      <c r="W80">
        <f>HYPERLINK("https://klasma.github.io/Logging_0860/kartor/A 54307-2025 karta.png", "A 54307-2025")</f>
        <v/>
      </c>
      <c r="Y80">
        <f>HYPERLINK("https://klasma.github.io/Logging_0860/klagomål/A 54307-2025 FSC-klagomål.docx", "A 54307-2025")</f>
        <v/>
      </c>
      <c r="Z80">
        <f>HYPERLINK("https://klasma.github.io/Logging_0860/klagomålsmail/A 54307-2025 FSC-klagomål mail.docx", "A 54307-2025")</f>
        <v/>
      </c>
      <c r="AA80">
        <f>HYPERLINK("https://klasma.github.io/Logging_0860/tillsyn/A 54307-2025 tillsynsbegäran.docx", "A 54307-2025")</f>
        <v/>
      </c>
      <c r="AB80">
        <f>HYPERLINK("https://klasma.github.io/Logging_0860/tillsynsmail/A 54307-2025 tillsynsbegäran mail.docx", "A 54307-2025")</f>
        <v/>
      </c>
      <c r="AC80">
        <f>HYPERLINK("https://klasma.github.io/Logging_0860/fåglar/A 54307-2025 prioriterade fågelarter.docx", "A 54307-2025")</f>
        <v/>
      </c>
    </row>
    <row r="81" ht="15" customHeight="1">
      <c r="A81" t="inlineStr">
        <is>
          <t>A 16891-2025</t>
        </is>
      </c>
      <c r="B81" t="inlineStr">
        <is>
          <t>avverkningsanmälan</t>
        </is>
      </c>
      <c r="C81" t="inlineStr">
        <is>
          <t>Avverkning för att bevara och utveckla /försöksver</t>
        </is>
      </c>
      <c r="D81" s="1" t="n">
        <v>45755</v>
      </c>
      <c r="E81" s="1" t="n">
        <v>46217</v>
      </c>
      <c r="F81" t="inlineStr">
        <is>
          <t>KALMAR LÄN</t>
        </is>
      </c>
      <c r="G81" t="inlineStr">
        <is>
          <t>HULTSFRED</t>
        </is>
      </c>
      <c r="I81" t="n">
        <v>4.3</v>
      </c>
      <c r="J81" t="n">
        <v>0</v>
      </c>
      <c r="K81" t="n">
        <v>0</v>
      </c>
      <c r="L81" t="n">
        <v>1</v>
      </c>
      <c r="M81" t="n">
        <v>0</v>
      </c>
      <c r="N81" t="n">
        <v>0</v>
      </c>
      <c r="O81" t="n">
        <v>0</v>
      </c>
      <c r="P81" t="n">
        <v>0</v>
      </c>
      <c r="Q81" t="n">
        <v>1</v>
      </c>
      <c r="R81" t="n">
        <v>0</v>
      </c>
      <c r="S81" t="n">
        <v>1</v>
      </c>
      <c r="T81" t="n">
        <v>1</v>
      </c>
      <c r="U81" s="2" t="inlineStr">
        <is>
          <t>Fyrflikig jordstjärna</t>
        </is>
      </c>
      <c r="V81">
        <f>HYPERLINK("https://klasma.github.io/Logging_0860/artfynd/A 16891-2025 artfynd.xlsx", "A 16891-2025")</f>
        <v/>
      </c>
      <c r="W81">
        <f>HYPERLINK("https://klasma.github.io/Logging_0860/kartor/A 16891-2025 karta.png", "A 16891-2025")</f>
        <v/>
      </c>
      <c r="Y81">
        <f>HYPERLINK("https://klasma.github.io/Logging_0860/klagomål/A 16891-2025 FSC-klagomål.docx", "A 16891-2025")</f>
        <v/>
      </c>
      <c r="Z81">
        <f>HYPERLINK("https://klasma.github.io/Logging_0860/klagomålsmail/A 16891-2025 FSC-klagomål mail.docx", "A 16891-2025")</f>
        <v/>
      </c>
      <c r="AA81">
        <f>HYPERLINK("https://klasma.github.io/Logging_0860/tillsyn/A 16891-2025 tillsynsbegäran.docx", "A 16891-2025")</f>
        <v/>
      </c>
      <c r="AB81">
        <f>HYPERLINK("https://klasma.github.io/Logging_0860/tillsynsmail/A 16891-2025 tillsynsbegäran mail.docx", "A 16891-2025")</f>
        <v/>
      </c>
    </row>
    <row r="82" ht="15" customHeight="1">
      <c r="A82" t="inlineStr">
        <is>
          <t>A 55614-2025</t>
        </is>
      </c>
      <c r="B82" t="inlineStr">
        <is>
          <t>avverkningsanmälan</t>
        </is>
      </c>
      <c r="C82" t="inlineStr">
        <is>
          <t>Föryngringsavverkning</t>
        </is>
      </c>
      <c r="D82" s="1" t="n">
        <v>45971</v>
      </c>
      <c r="E82" s="1" t="n">
        <v>46217</v>
      </c>
      <c r="F82" t="inlineStr">
        <is>
          <t>KALMAR LÄN</t>
        </is>
      </c>
      <c r="G82" t="inlineStr">
        <is>
          <t>HULTSFRED</t>
        </is>
      </c>
      <c r="I82" t="n">
        <v>1.4</v>
      </c>
      <c r="J82" t="n">
        <v>0</v>
      </c>
      <c r="K82" t="n">
        <v>0</v>
      </c>
      <c r="L82" t="n">
        <v>1</v>
      </c>
      <c r="M82" t="n">
        <v>0</v>
      </c>
      <c r="N82" t="n">
        <v>0</v>
      </c>
      <c r="O82" t="n">
        <v>0</v>
      </c>
      <c r="P82" t="n">
        <v>0</v>
      </c>
      <c r="Q82" t="n">
        <v>1</v>
      </c>
      <c r="R82" t="n">
        <v>0</v>
      </c>
      <c r="S82" t="n">
        <v>1</v>
      </c>
      <c r="T82" t="n">
        <v>1</v>
      </c>
      <c r="U82" s="2" t="inlineStr">
        <is>
          <t>Grönhjon</t>
        </is>
      </c>
      <c r="V82">
        <f>HYPERLINK("https://klasma.github.io/Logging_0860/artfynd/A 55614-2025 artfynd.xlsx", "A 55614-2025")</f>
        <v/>
      </c>
      <c r="W82">
        <f>HYPERLINK("https://klasma.github.io/Logging_0860/kartor/A 55614-2025 karta.png", "A 55614-2025")</f>
        <v/>
      </c>
      <c r="Y82">
        <f>HYPERLINK("https://klasma.github.io/Logging_0860/klagomål/A 55614-2025 FSC-klagomål.docx", "A 55614-2025")</f>
        <v/>
      </c>
      <c r="Z82">
        <f>HYPERLINK("https://klasma.github.io/Logging_0860/klagomålsmail/A 55614-2025 FSC-klagomål mail.docx", "A 55614-2025")</f>
        <v/>
      </c>
      <c r="AA82">
        <f>HYPERLINK("https://klasma.github.io/Logging_0860/tillsyn/A 55614-2025 tillsynsbegäran.docx", "A 55614-2025")</f>
        <v/>
      </c>
      <c r="AB82">
        <f>HYPERLINK("https://klasma.github.io/Logging_0860/tillsynsmail/A 55614-2025 tillsynsbegäran mail.docx", "A 55614-2025")</f>
        <v/>
      </c>
    </row>
    <row r="83" ht="15" customHeight="1">
      <c r="A83" t="inlineStr">
        <is>
          <t>A 63212-2023</t>
        </is>
      </c>
      <c r="B83" t="inlineStr">
        <is>
          <t>avverkningsanmälan</t>
        </is>
      </c>
      <c r="C83" t="inlineStr">
        <is>
          <t>Föryngringsavverkning</t>
        </is>
      </c>
      <c r="D83" s="1" t="n">
        <v>45273</v>
      </c>
      <c r="E83" s="1" t="n">
        <v>46217</v>
      </c>
      <c r="F83" t="inlineStr">
        <is>
          <t>KALMAR LÄN</t>
        </is>
      </c>
      <c r="G83" t="inlineStr">
        <is>
          <t>HULTSFRED</t>
        </is>
      </c>
      <c r="I83" t="n">
        <v>2.5</v>
      </c>
      <c r="J83" t="n">
        <v>0</v>
      </c>
      <c r="K83" t="n">
        <v>0</v>
      </c>
      <c r="L83" t="n">
        <v>1</v>
      </c>
      <c r="M83" t="n">
        <v>0</v>
      </c>
      <c r="N83" t="n">
        <v>0</v>
      </c>
      <c r="O83" t="n">
        <v>0</v>
      </c>
      <c r="P83" t="n">
        <v>0</v>
      </c>
      <c r="Q83" t="n">
        <v>1</v>
      </c>
      <c r="R83" t="n">
        <v>0</v>
      </c>
      <c r="S83" t="n">
        <v>1</v>
      </c>
      <c r="T83" t="n">
        <v>1</v>
      </c>
      <c r="U83" s="2" t="inlineStr">
        <is>
          <t>Slåtterfibbla</t>
        </is>
      </c>
      <c r="V83">
        <f>HYPERLINK("https://klasma.github.io/Logging_0860/artfynd/A 63212-2023 artfynd.xlsx", "A 63212-2023")</f>
        <v/>
      </c>
      <c r="W83">
        <f>HYPERLINK("https://klasma.github.io/Logging_0860/kartor/A 63212-2023 karta.png", "A 63212-2023")</f>
        <v/>
      </c>
      <c r="Y83">
        <f>HYPERLINK("https://klasma.github.io/Logging_0860/klagomål/A 63212-2023 FSC-klagomål.docx", "A 63212-2023")</f>
        <v/>
      </c>
      <c r="Z83">
        <f>HYPERLINK("https://klasma.github.io/Logging_0860/klagomålsmail/A 63212-2023 FSC-klagomål mail.docx", "A 63212-2023")</f>
        <v/>
      </c>
      <c r="AA83">
        <f>HYPERLINK("https://klasma.github.io/Logging_0860/tillsyn/A 63212-2023 tillsynsbegäran.docx", "A 63212-2023")</f>
        <v/>
      </c>
      <c r="AB83">
        <f>HYPERLINK("https://klasma.github.io/Logging_0860/tillsynsmail/A 63212-2023 tillsynsbegäran mail.docx", "A 63212-2023")</f>
        <v/>
      </c>
    </row>
    <row r="84" ht="15" customHeight="1">
      <c r="A84" t="inlineStr">
        <is>
          <t>A 20928-2026</t>
        </is>
      </c>
      <c r="B84" t="inlineStr">
        <is>
          <t>avverkningsanmälan</t>
        </is>
      </c>
      <c r="C84" t="inlineStr">
        <is>
          <t>Föryngringsavverkning</t>
        </is>
      </c>
      <c r="D84" s="1" t="n">
        <v>46142</v>
      </c>
      <c r="E84" s="1" t="n">
        <v>46217</v>
      </c>
      <c r="F84" t="inlineStr">
        <is>
          <t>KALMAR LÄN</t>
        </is>
      </c>
      <c r="G84" t="inlineStr">
        <is>
          <t>HULTSFRED</t>
        </is>
      </c>
      <c r="I84" t="n">
        <v>5.5</v>
      </c>
      <c r="J84" t="n">
        <v>0</v>
      </c>
      <c r="K84" t="n">
        <v>0</v>
      </c>
      <c r="L84" t="n">
        <v>1</v>
      </c>
      <c r="M84" t="n">
        <v>0</v>
      </c>
      <c r="N84" t="n">
        <v>0</v>
      </c>
      <c r="O84" t="n">
        <v>0</v>
      </c>
      <c r="P84" t="n">
        <v>0</v>
      </c>
      <c r="Q84" t="n">
        <v>1</v>
      </c>
      <c r="R84" t="n">
        <v>0</v>
      </c>
      <c r="S84" t="n">
        <v>1</v>
      </c>
      <c r="T84" t="n">
        <v>1</v>
      </c>
      <c r="U84" s="2" t="inlineStr">
        <is>
          <t>Gullklöver</t>
        </is>
      </c>
      <c r="V84">
        <f>HYPERLINK("https://klasma.github.io/Logging_0860/artfynd/A 20928-2026 artfynd.xlsx", "A 20928-2026")</f>
        <v/>
      </c>
      <c r="W84">
        <f>HYPERLINK("https://klasma.github.io/Logging_0860/kartor/A 20928-2026 karta.png", "A 20928-2026")</f>
        <v/>
      </c>
      <c r="Y84">
        <f>HYPERLINK("https://klasma.github.io/Logging_0860/klagomål/A 20928-2026 FSC-klagomål.docx", "A 20928-2026")</f>
        <v/>
      </c>
      <c r="Z84">
        <f>HYPERLINK("https://klasma.github.io/Logging_0860/klagomålsmail/A 20928-2026 FSC-klagomål mail.docx", "A 20928-2026")</f>
        <v/>
      </c>
      <c r="AA84">
        <f>HYPERLINK("https://klasma.github.io/Logging_0860/tillsyn/A 20928-2026 tillsynsbegäran.docx", "A 20928-2026")</f>
        <v/>
      </c>
      <c r="AB84">
        <f>HYPERLINK("https://klasma.github.io/Logging_0860/tillsynsmail/A 20928-2026 tillsynsbegäran mail.docx", "A 20928-2026")</f>
        <v/>
      </c>
    </row>
    <row r="85" ht="15" customHeight="1">
      <c r="A85" t="inlineStr">
        <is>
          <t>A 58055-2025</t>
        </is>
      </c>
      <c r="B85" t="inlineStr">
        <is>
          <t>avverkningsanmälan</t>
        </is>
      </c>
      <c r="C85" t="inlineStr">
        <is>
          <t>Föryngringsavverkning</t>
        </is>
      </c>
      <c r="D85" s="1" t="n">
        <v>45982</v>
      </c>
      <c r="E85" s="1" t="n">
        <v>46217</v>
      </c>
      <c r="F85" t="inlineStr">
        <is>
          <t>KALMAR LÄN</t>
        </is>
      </c>
      <c r="G85" t="inlineStr">
        <is>
          <t>HULTSFRED</t>
        </is>
      </c>
      <c r="I85" t="n">
        <v>2.5</v>
      </c>
      <c r="J85" t="n">
        <v>1</v>
      </c>
      <c r="K85" t="n">
        <v>0</v>
      </c>
      <c r="L85" t="n">
        <v>0</v>
      </c>
      <c r="M85" t="n">
        <v>0</v>
      </c>
      <c r="N85" t="n">
        <v>0</v>
      </c>
      <c r="O85" t="n">
        <v>0</v>
      </c>
      <c r="P85" t="n">
        <v>0</v>
      </c>
      <c r="Q85" t="n">
        <v>0</v>
      </c>
      <c r="R85" t="n">
        <v>0</v>
      </c>
      <c r="S85" t="n">
        <v>1</v>
      </c>
      <c r="T85" t="n">
        <v>1</v>
      </c>
      <c r="U85" s="2" t="inlineStr">
        <is>
          <t>Gullviva</t>
        </is>
      </c>
      <c r="V85">
        <f>HYPERLINK("https://klasma.github.io/Logging_0860/artfynd/A 58055-2025 artfynd.xlsx", "A 58055-2025")</f>
        <v/>
      </c>
      <c r="W85">
        <f>HYPERLINK("https://klasma.github.io/Logging_0860/kartor/A 58055-2025 karta.png", "A 58055-2025")</f>
        <v/>
      </c>
      <c r="Y85">
        <f>HYPERLINK("https://klasma.github.io/Logging_0860/klagomål/A 58055-2025 FSC-klagomål.docx", "A 58055-2025")</f>
        <v/>
      </c>
      <c r="Z85">
        <f>HYPERLINK("https://klasma.github.io/Logging_0860/klagomålsmail/A 58055-2025 FSC-klagomål mail.docx", "A 58055-2025")</f>
        <v/>
      </c>
      <c r="AA85">
        <f>HYPERLINK("https://klasma.github.io/Logging_0860/tillsyn/A 58055-2025 tillsynsbegäran.docx", "A 58055-2025")</f>
        <v/>
      </c>
      <c r="AB85">
        <f>HYPERLINK("https://klasma.github.io/Logging_0860/tillsynsmail/A 58055-2025 tillsynsbegäran mail.docx", "A 58055-2025")</f>
        <v/>
      </c>
    </row>
    <row r="86" ht="15" customHeight="1">
      <c r="A86" t="inlineStr">
        <is>
          <t>A 26805-2026</t>
        </is>
      </c>
      <c r="B86" t="inlineStr">
        <is>
          <t>avverkningsanmälan</t>
        </is>
      </c>
      <c r="C86" t="inlineStr">
        <is>
          <t>Avverkning för annat ändamål</t>
        </is>
      </c>
      <c r="D86" s="1" t="n">
        <v>46185</v>
      </c>
      <c r="E86" s="1" t="n">
        <v>46217</v>
      </c>
      <c r="F86" t="inlineStr">
        <is>
          <t>KALMAR LÄN</t>
        </is>
      </c>
      <c r="G86" t="inlineStr">
        <is>
          <t>HULTSFRED</t>
        </is>
      </c>
      <c r="I86" t="n">
        <v>30.1</v>
      </c>
      <c r="J86" t="n">
        <v>0</v>
      </c>
      <c r="K86" t="n">
        <v>0</v>
      </c>
      <c r="L86" t="n">
        <v>0</v>
      </c>
      <c r="M86" t="n">
        <v>0</v>
      </c>
      <c r="N86" t="n">
        <v>1</v>
      </c>
      <c r="O86" t="n">
        <v>0</v>
      </c>
      <c r="P86" t="n">
        <v>0</v>
      </c>
      <c r="Q86" t="n">
        <v>1</v>
      </c>
      <c r="R86" t="n">
        <v>1</v>
      </c>
      <c r="S86" t="n">
        <v>1</v>
      </c>
      <c r="T86" t="n">
        <v>2</v>
      </c>
      <c r="U86" s="2" t="inlineStr">
        <is>
          <t>Karelsk maskros</t>
        </is>
      </c>
      <c r="V86">
        <f>HYPERLINK("https://klasma.github.io/Logging_0860/artfynd/A 26805-2026 artfynd.xlsx", "A 26805-2026")</f>
        <v/>
      </c>
      <c r="W86">
        <f>HYPERLINK("https://klasma.github.io/Logging_0860/kartor/A 26805-2026 karta.png", "A 26805-2026")</f>
        <v/>
      </c>
      <c r="Y86">
        <f>HYPERLINK("https://klasma.github.io/Logging_0860/klagomål/A 26805-2026 FSC-klagomål.docx", "A 26805-2026")</f>
        <v/>
      </c>
      <c r="Z86">
        <f>HYPERLINK("https://klasma.github.io/Logging_0860/klagomålsmail/A 26805-2026 FSC-klagomål mail.docx", "A 26805-2026")</f>
        <v/>
      </c>
      <c r="AA86">
        <f>HYPERLINK("https://klasma.github.io/Logging_0860/tillsyn/A 26805-2026 tillsynsbegäran.docx", "A 26805-2026")</f>
        <v/>
      </c>
      <c r="AB86">
        <f>HYPERLINK("https://klasma.github.io/Logging_0860/tillsynsmail/A 26805-2026 tillsynsbegäran mail.docx", "A 26805-2026")</f>
        <v/>
      </c>
    </row>
    <row r="87" ht="15" customHeight="1">
      <c r="A87" t="inlineStr">
        <is>
          <t>A 28166-2026</t>
        </is>
      </c>
      <c r="B87" t="inlineStr">
        <is>
          <t>avverkningsanmälan</t>
        </is>
      </c>
      <c r="C87" t="inlineStr">
        <is>
          <t>Föryngringsavverkning</t>
        </is>
      </c>
      <c r="D87" s="1" t="n">
        <v>46195</v>
      </c>
      <c r="E87" s="1" t="n">
        <v>46217</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s="2" t="inlineStr">
        <is>
          <t>Blåsippa</t>
        </is>
      </c>
      <c r="V87">
        <f>HYPERLINK("https://klasma.github.io/Logging_0860/artfynd/A 28166-2026 artfynd.xlsx", "A 28166-2026")</f>
        <v/>
      </c>
      <c r="W87">
        <f>HYPERLINK("https://klasma.github.io/Logging_0860/kartor/A 28166-2026 karta.png", "A 28166-2026")</f>
        <v/>
      </c>
      <c r="Y87">
        <f>HYPERLINK("https://klasma.github.io/Logging_0860/klagomål/A 28166-2026 FSC-klagomål.docx", "A 28166-2026")</f>
        <v/>
      </c>
      <c r="Z87">
        <f>HYPERLINK("https://klasma.github.io/Logging_0860/klagomålsmail/A 28166-2026 FSC-klagomål mail.docx", "A 28166-2026")</f>
        <v/>
      </c>
      <c r="AA87">
        <f>HYPERLINK("https://klasma.github.io/Logging_0860/tillsyn/A 28166-2026 tillsynsbegäran.docx", "A 28166-2026")</f>
        <v/>
      </c>
      <c r="AB87">
        <f>HYPERLINK("https://klasma.github.io/Logging_0860/tillsynsmail/A 28166-2026 tillsynsbegäran mail.docx", "A 28166-2026")</f>
        <v/>
      </c>
    </row>
    <row r="88" ht="15" customHeight="1">
      <c r="A88" t="inlineStr">
        <is>
          <t>A 68096-2021</t>
        </is>
      </c>
      <c r="B88" t="inlineStr">
        <is>
          <t>avverkningsanmälan</t>
        </is>
      </c>
      <c r="C88" t="inlineStr">
        <is>
          <t>Föryngringsavverkning</t>
        </is>
      </c>
      <c r="D88" s="1" t="n">
        <v>44526</v>
      </c>
      <c r="E88" s="1" t="n">
        <v>46217</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s="2" t="inlineStr">
        <is>
          <t>Knärot</t>
        </is>
      </c>
      <c r="V88">
        <f>HYPERLINK("https://klasma.github.io/Logging_0860/artfynd/A 68096-2021 artfynd.xlsx", "A 68096-2021")</f>
        <v/>
      </c>
      <c r="W88">
        <f>HYPERLINK("https://klasma.github.io/Logging_0860/kartor/A 68096-2021 karta.png", "A 68096-2021")</f>
        <v/>
      </c>
      <c r="X88">
        <f>HYPERLINK("https://klasma.github.io/Logging_0860/knärot/A 68096-2021 karta knärot.png", "A 68096-2021")</f>
        <v/>
      </c>
      <c r="Y88">
        <f>HYPERLINK("https://klasma.github.io/Logging_0860/klagomål/A 68096-2021 FSC-klagomål.docx", "A 68096-2021")</f>
        <v/>
      </c>
      <c r="Z88">
        <f>HYPERLINK("https://klasma.github.io/Logging_0860/klagomålsmail/A 68096-2021 FSC-klagomål mail.docx", "A 68096-2021")</f>
        <v/>
      </c>
      <c r="AA88">
        <f>HYPERLINK("https://klasma.github.io/Logging_0860/tillsyn/A 68096-2021 tillsynsbegäran.docx", "A 68096-2021")</f>
        <v/>
      </c>
      <c r="AB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46217</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s="2" t="inlineStr">
        <is>
          <t>Tofsvipa</t>
        </is>
      </c>
      <c r="V89">
        <f>HYPERLINK("https://klasma.github.io/Logging_0860/artfynd/A 40256-2023 artfynd.xlsx", "A 40256-2023")</f>
        <v/>
      </c>
      <c r="W89">
        <f>HYPERLINK("https://klasma.github.io/Logging_0860/kartor/A 40256-2023 karta.png", "A 40256-2023")</f>
        <v/>
      </c>
      <c r="Y89">
        <f>HYPERLINK("https://klasma.github.io/Logging_0860/klagomål/A 40256-2023 FSC-klagomål.docx", "A 40256-2023")</f>
        <v/>
      </c>
      <c r="Z89">
        <f>HYPERLINK("https://klasma.github.io/Logging_0860/klagomålsmail/A 40256-2023 FSC-klagomål mail.docx", "A 40256-2023")</f>
        <v/>
      </c>
      <c r="AA89">
        <f>HYPERLINK("https://klasma.github.io/Logging_0860/tillsyn/A 40256-2023 tillsynsbegäran.docx", "A 40256-2023")</f>
        <v/>
      </c>
      <c r="AB89">
        <f>HYPERLINK("https://klasma.github.io/Logging_0860/tillsynsmail/A 40256-2023 tillsynsbegäran mail.docx", "A 40256-2023")</f>
        <v/>
      </c>
    </row>
    <row r="90" ht="15" customHeight="1">
      <c r="A90" t="inlineStr">
        <is>
          <t>A 5563-2026</t>
        </is>
      </c>
      <c r="B90" t="inlineStr">
        <is>
          <t>avverkningsanmälan</t>
        </is>
      </c>
      <c r="C90" t="inlineStr">
        <is>
          <t>Föryngringsavverkning</t>
        </is>
      </c>
      <c r="D90" s="1" t="n">
        <v>46050</v>
      </c>
      <c r="E90" s="1" t="n">
        <v>46217</v>
      </c>
      <c r="F90" t="inlineStr">
        <is>
          <t>KALMAR LÄN</t>
        </is>
      </c>
      <c r="G90" t="inlineStr">
        <is>
          <t>HULTSFRED</t>
        </is>
      </c>
      <c r="I90" t="n">
        <v>2</v>
      </c>
      <c r="J90" t="n">
        <v>0</v>
      </c>
      <c r="K90" t="n">
        <v>0</v>
      </c>
      <c r="L90" t="n">
        <v>1</v>
      </c>
      <c r="M90" t="n">
        <v>0</v>
      </c>
      <c r="N90" t="n">
        <v>0</v>
      </c>
      <c r="O90" t="n">
        <v>0</v>
      </c>
      <c r="P90" t="n">
        <v>0</v>
      </c>
      <c r="Q90" t="n">
        <v>1</v>
      </c>
      <c r="R90" t="n">
        <v>0</v>
      </c>
      <c r="S90" t="n">
        <v>1</v>
      </c>
      <c r="T90" t="n">
        <v>1</v>
      </c>
      <c r="U90" s="2" t="inlineStr">
        <is>
          <t>Smal guldkornsfibbla</t>
        </is>
      </c>
      <c r="V90">
        <f>HYPERLINK("https://klasma.github.io/Logging_0860/artfynd/A 5563-2026 artfynd.xlsx", "A 5563-2026")</f>
        <v/>
      </c>
      <c r="W90">
        <f>HYPERLINK("https://klasma.github.io/Logging_0860/kartor/A 5563-2026 karta.png", "A 5563-2026")</f>
        <v/>
      </c>
      <c r="Y90">
        <f>HYPERLINK("https://klasma.github.io/Logging_0860/klagomål/A 5563-2026 FSC-klagomål.docx", "A 5563-2026")</f>
        <v/>
      </c>
      <c r="Z90">
        <f>HYPERLINK("https://klasma.github.io/Logging_0860/klagomålsmail/A 5563-2026 FSC-klagomål mail.docx", "A 5563-2026")</f>
        <v/>
      </c>
      <c r="AA90">
        <f>HYPERLINK("https://klasma.github.io/Logging_0860/tillsyn/A 5563-2026 tillsynsbegäran.docx", "A 5563-2026")</f>
        <v/>
      </c>
      <c r="AB90">
        <f>HYPERLINK("https://klasma.github.io/Logging_0860/tillsynsmail/A 5563-2026 tillsynsbegäran mail.docx", "A 5563-2026")</f>
        <v/>
      </c>
    </row>
    <row r="91" ht="15" customHeight="1">
      <c r="A91" t="inlineStr">
        <is>
          <t>A 5987-2025</t>
        </is>
      </c>
      <c r="B91" t="inlineStr">
        <is>
          <t>avverkningsanmälan</t>
        </is>
      </c>
      <c r="C91" t="inlineStr">
        <is>
          <t>Föryngringsavverkning</t>
        </is>
      </c>
      <c r="D91" s="1" t="n">
        <v>45695</v>
      </c>
      <c r="E91" s="1" t="n">
        <v>46217</v>
      </c>
      <c r="F91" t="inlineStr">
        <is>
          <t>KALMAR LÄN</t>
        </is>
      </c>
      <c r="G91" t="inlineStr">
        <is>
          <t>HULTSFRED</t>
        </is>
      </c>
      <c r="H91" t="inlineStr">
        <is>
          <t>Sveaskog</t>
        </is>
      </c>
      <c r="I91" t="n">
        <v>2.2</v>
      </c>
      <c r="J91" t="n">
        <v>1</v>
      </c>
      <c r="K91" t="n">
        <v>0</v>
      </c>
      <c r="L91" t="n">
        <v>0</v>
      </c>
      <c r="M91" t="n">
        <v>0</v>
      </c>
      <c r="N91" t="n">
        <v>0</v>
      </c>
      <c r="O91" t="n">
        <v>0</v>
      </c>
      <c r="P91" t="n">
        <v>0</v>
      </c>
      <c r="Q91" t="n">
        <v>0</v>
      </c>
      <c r="R91" t="n">
        <v>0</v>
      </c>
      <c r="S91" t="n">
        <v>1</v>
      </c>
      <c r="T91" t="n">
        <v>1</v>
      </c>
      <c r="U91" s="2" t="inlineStr">
        <is>
          <t>Revlummer</t>
        </is>
      </c>
      <c r="V91">
        <f>HYPERLINK("https://klasma.github.io/Logging_0860/artfynd/A 5987-2025 artfynd.xlsx", "A 5987-2025")</f>
        <v/>
      </c>
      <c r="W91">
        <f>HYPERLINK("https://klasma.github.io/Logging_0860/kartor/A 5987-2025 karta.png", "A 5987-2025")</f>
        <v/>
      </c>
      <c r="Y91">
        <f>HYPERLINK("https://klasma.github.io/Logging_0860/klagomål/A 5987-2025 FSC-klagomål.docx", "A 5987-2025")</f>
        <v/>
      </c>
      <c r="Z91">
        <f>HYPERLINK("https://klasma.github.io/Logging_0860/klagomålsmail/A 5987-2025 FSC-klagomål mail.docx", "A 5987-2025")</f>
        <v/>
      </c>
      <c r="AA91">
        <f>HYPERLINK("https://klasma.github.io/Logging_0860/tillsyn/A 5987-2025 tillsynsbegäran.docx", "A 5987-2025")</f>
        <v/>
      </c>
      <c r="AB91">
        <f>HYPERLINK("https://klasma.github.io/Logging_0860/tillsynsmail/A 5987-2025 tillsynsbegäran mail.docx", "A 5987-2025")</f>
        <v/>
      </c>
    </row>
    <row r="92" ht="15" customHeight="1">
      <c r="A92" t="inlineStr">
        <is>
          <t>A 53203-2022</t>
        </is>
      </c>
      <c r="B92" t="inlineStr">
        <is>
          <t>avverkningsanmälan</t>
        </is>
      </c>
      <c r="C92" t="inlineStr">
        <is>
          <t>Föryngringsavverkning</t>
        </is>
      </c>
      <c r="D92" s="1" t="n">
        <v>44876</v>
      </c>
      <c r="E92" s="1" t="n">
        <v>46217</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s="2" t="inlineStr">
        <is>
          <t>Vanlig padda</t>
        </is>
      </c>
      <c r="V92">
        <f>HYPERLINK("https://klasma.github.io/Logging_0860/artfynd/A 53203-2022 artfynd.xlsx", "A 53203-2022")</f>
        <v/>
      </c>
      <c r="W92">
        <f>HYPERLINK("https://klasma.github.io/Logging_0860/kartor/A 53203-2022 karta.png", "A 53203-2022")</f>
        <v/>
      </c>
      <c r="Y92">
        <f>HYPERLINK("https://klasma.github.io/Logging_0860/klagomål/A 53203-2022 FSC-klagomål.docx", "A 53203-2022")</f>
        <v/>
      </c>
      <c r="Z92">
        <f>HYPERLINK("https://klasma.github.io/Logging_0860/klagomålsmail/A 53203-2022 FSC-klagomål mail.docx", "A 53203-2022")</f>
        <v/>
      </c>
      <c r="AA92">
        <f>HYPERLINK("https://klasma.github.io/Logging_0860/tillsyn/A 53203-2022 tillsynsbegäran.docx", "A 53203-2022")</f>
        <v/>
      </c>
      <c r="AB92">
        <f>HYPERLINK("https://klasma.github.io/Logging_0860/tillsynsmail/A 53203-2022 tillsynsbegäran mail.docx", "A 53203-2022")</f>
        <v/>
      </c>
    </row>
    <row r="93" ht="15" customHeight="1">
      <c r="A93" t="inlineStr">
        <is>
          <t>A 33601-2023</t>
        </is>
      </c>
      <c r="B93" t="inlineStr">
        <is>
          <t>avverkningsanmälan</t>
        </is>
      </c>
      <c r="C93" t="inlineStr">
        <is>
          <t>Föryngringsavverkning</t>
        </is>
      </c>
      <c r="D93" s="1" t="n">
        <v>45132</v>
      </c>
      <c r="E93" s="1" t="n">
        <v>46217</v>
      </c>
      <c r="F93" t="inlineStr">
        <is>
          <t>KALMAR LÄN</t>
        </is>
      </c>
      <c r="G93" t="inlineStr">
        <is>
          <t>HULTSFRED</t>
        </is>
      </c>
      <c r="I93" t="n">
        <v>2.2</v>
      </c>
      <c r="J93" t="n">
        <v>1</v>
      </c>
      <c r="K93" t="n">
        <v>0</v>
      </c>
      <c r="L93" t="n">
        <v>0</v>
      </c>
      <c r="M93" t="n">
        <v>0</v>
      </c>
      <c r="N93" t="n">
        <v>0</v>
      </c>
      <c r="O93" t="n">
        <v>0</v>
      </c>
      <c r="P93" t="n">
        <v>0</v>
      </c>
      <c r="Q93" t="n">
        <v>0</v>
      </c>
      <c r="R93" t="n">
        <v>0</v>
      </c>
      <c r="S93" t="n">
        <v>1</v>
      </c>
      <c r="T93" t="n">
        <v>1</v>
      </c>
      <c r="U93" s="2" t="inlineStr">
        <is>
          <t>Spillkråka</t>
        </is>
      </c>
      <c r="V93">
        <f>HYPERLINK("https://klasma.github.io/Logging_0860/artfynd/A 33601-2023 artfynd.xlsx", "A 33601-2023")</f>
        <v/>
      </c>
      <c r="W93">
        <f>HYPERLINK("https://klasma.github.io/Logging_0860/kartor/A 33601-2023 karta.png", "A 33601-2023")</f>
        <v/>
      </c>
      <c r="Y93">
        <f>HYPERLINK("https://klasma.github.io/Logging_0860/klagomål/A 33601-2023 FSC-klagomål.docx", "A 33601-2023")</f>
        <v/>
      </c>
      <c r="Z93">
        <f>HYPERLINK("https://klasma.github.io/Logging_0860/klagomålsmail/A 33601-2023 FSC-klagomål mail.docx", "A 33601-2023")</f>
        <v/>
      </c>
      <c r="AA93">
        <f>HYPERLINK("https://klasma.github.io/Logging_0860/tillsyn/A 33601-2023 tillsynsbegäran.docx", "A 33601-2023")</f>
        <v/>
      </c>
      <c r="AB93">
        <f>HYPERLINK("https://klasma.github.io/Logging_0860/tillsynsmail/A 33601-2023 tillsynsbegäran mail.docx", "A 33601-2023")</f>
        <v/>
      </c>
      <c r="AC93">
        <f>HYPERLINK("https://klasma.github.io/Logging_0860/fåglar/A 33601-2023 prioriterade fågelarter.docx", "A 33601-2023")</f>
        <v/>
      </c>
    </row>
    <row r="94" ht="15" customHeight="1">
      <c r="A94" t="inlineStr">
        <is>
          <t>A 11009-2026</t>
        </is>
      </c>
      <c r="B94" t="inlineStr">
        <is>
          <t>avverkningsanmälan</t>
        </is>
      </c>
      <c r="C94" t="inlineStr">
        <is>
          <t>Föryngringsavverkning</t>
        </is>
      </c>
      <c r="D94" s="1" t="n">
        <v>46078</v>
      </c>
      <c r="E94" s="1" t="n">
        <v>46217</v>
      </c>
      <c r="F94" t="inlineStr">
        <is>
          <t>KALMAR LÄN</t>
        </is>
      </c>
      <c r="G94" t="inlineStr">
        <is>
          <t>HULTSFRED</t>
        </is>
      </c>
      <c r="H94" t="inlineStr">
        <is>
          <t>Kommuner</t>
        </is>
      </c>
      <c r="I94" t="n">
        <v>16.2</v>
      </c>
      <c r="J94" t="n">
        <v>1</v>
      </c>
      <c r="K94" t="n">
        <v>0</v>
      </c>
      <c r="L94" t="n">
        <v>0</v>
      </c>
      <c r="M94" t="n">
        <v>0</v>
      </c>
      <c r="N94" t="n">
        <v>0</v>
      </c>
      <c r="O94" t="n">
        <v>0</v>
      </c>
      <c r="P94" t="n">
        <v>0</v>
      </c>
      <c r="Q94" t="n">
        <v>0</v>
      </c>
      <c r="R94" t="n">
        <v>0</v>
      </c>
      <c r="S94" t="n">
        <v>1</v>
      </c>
      <c r="T94" t="n">
        <v>1</v>
      </c>
      <c r="U94" s="2" t="inlineStr">
        <is>
          <t>Revlummer</t>
        </is>
      </c>
      <c r="V94">
        <f>HYPERLINK("https://klasma.github.io/Logging_0860/artfynd/A 11009-2026 artfynd.xlsx", "A 11009-2026")</f>
        <v/>
      </c>
      <c r="W94">
        <f>HYPERLINK("https://klasma.github.io/Logging_0860/kartor/A 11009-2026 karta.png", "A 11009-2026")</f>
        <v/>
      </c>
      <c r="Y94">
        <f>HYPERLINK("https://klasma.github.io/Logging_0860/klagomål/A 11009-2026 FSC-klagomål.docx", "A 11009-2026")</f>
        <v/>
      </c>
      <c r="Z94">
        <f>HYPERLINK("https://klasma.github.io/Logging_0860/klagomålsmail/A 11009-2026 FSC-klagomål mail.docx", "A 11009-2026")</f>
        <v/>
      </c>
      <c r="AA94">
        <f>HYPERLINK("https://klasma.github.io/Logging_0860/tillsyn/A 11009-2026 tillsynsbegäran.docx", "A 11009-2026")</f>
        <v/>
      </c>
      <c r="AB94">
        <f>HYPERLINK("https://klasma.github.io/Logging_0860/tillsynsmail/A 11009-2026 tillsynsbegäran mail.docx", "A 11009-2026")</f>
        <v/>
      </c>
    </row>
    <row r="95" ht="15" customHeight="1">
      <c r="A95" t="inlineStr">
        <is>
          <t>A 55758-2023</t>
        </is>
      </c>
      <c r="B95" t="inlineStr">
        <is>
          <t>avverkningsanmälan</t>
        </is>
      </c>
      <c r="C95" t="inlineStr">
        <is>
          <t>Avverkning för annat ändamål</t>
        </is>
      </c>
      <c r="D95" s="1" t="n">
        <v>45239</v>
      </c>
      <c r="E95" s="1" t="n">
        <v>46217</v>
      </c>
      <c r="F95" t="inlineStr">
        <is>
          <t>KALMAR LÄN</t>
        </is>
      </c>
      <c r="G95" t="inlineStr">
        <is>
          <t>HULTSFRED</t>
        </is>
      </c>
      <c r="I95" t="n">
        <v>6.7</v>
      </c>
      <c r="J95" t="n">
        <v>0</v>
      </c>
      <c r="K95" t="n">
        <v>0</v>
      </c>
      <c r="L95" t="n">
        <v>1</v>
      </c>
      <c r="M95" t="n">
        <v>0</v>
      </c>
      <c r="N95" t="n">
        <v>0</v>
      </c>
      <c r="O95" t="n">
        <v>0</v>
      </c>
      <c r="P95" t="n">
        <v>0</v>
      </c>
      <c r="Q95" t="n">
        <v>1</v>
      </c>
      <c r="R95" t="n">
        <v>0</v>
      </c>
      <c r="S95" t="n">
        <v>1</v>
      </c>
      <c r="T95" t="n">
        <v>1</v>
      </c>
      <c r="U95" s="2" t="inlineStr">
        <is>
          <t>Korskovall</t>
        </is>
      </c>
      <c r="V95">
        <f>HYPERLINK("https://klasma.github.io/Logging_0860/artfynd/A 55758-2023 artfynd.xlsx", "A 55758-2023")</f>
        <v/>
      </c>
      <c r="W95">
        <f>HYPERLINK("https://klasma.github.io/Logging_0860/kartor/A 55758-2023 karta.png", "A 55758-2023")</f>
        <v/>
      </c>
      <c r="Y95">
        <f>HYPERLINK("https://klasma.github.io/Logging_0860/klagomål/A 55758-2023 FSC-klagomål.docx", "A 55758-2023")</f>
        <v/>
      </c>
      <c r="Z95">
        <f>HYPERLINK("https://klasma.github.io/Logging_0860/klagomålsmail/A 55758-2023 FSC-klagomål mail.docx", "A 55758-2023")</f>
        <v/>
      </c>
      <c r="AA95">
        <f>HYPERLINK("https://klasma.github.io/Logging_0860/tillsyn/A 55758-2023 tillsynsbegäran.docx", "A 55758-2023")</f>
        <v/>
      </c>
      <c r="AB95">
        <f>HYPERLINK("https://klasma.github.io/Logging_0860/tillsynsmail/A 55758-2023 tillsynsbegäran mail.docx", "A 55758-2023")</f>
        <v/>
      </c>
    </row>
    <row r="96" ht="15" customHeight="1">
      <c r="A96" t="inlineStr">
        <is>
          <t>A 8334-2024</t>
        </is>
      </c>
      <c r="B96" t="inlineStr">
        <is>
          <t>avverkningsanmälan</t>
        </is>
      </c>
      <c r="C96" t="inlineStr">
        <is>
          <t>Föryngringsavverkning</t>
        </is>
      </c>
      <c r="D96" s="1" t="n">
        <v>45352</v>
      </c>
      <c r="E96" s="1" t="n">
        <v>46217</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s="2" t="inlineStr">
        <is>
          <t>Gullviva</t>
        </is>
      </c>
      <c r="V96">
        <f>HYPERLINK("https://klasma.github.io/Logging_0860/artfynd/A 8334-2024 artfynd.xlsx", "A 8334-2024")</f>
        <v/>
      </c>
      <c r="W96">
        <f>HYPERLINK("https://klasma.github.io/Logging_0860/kartor/A 8334-2024 karta.png", "A 8334-2024")</f>
        <v/>
      </c>
      <c r="Y96">
        <f>HYPERLINK("https://klasma.github.io/Logging_0860/klagomål/A 8334-2024 FSC-klagomål.docx", "A 8334-2024")</f>
        <v/>
      </c>
      <c r="Z96">
        <f>HYPERLINK("https://klasma.github.io/Logging_0860/klagomålsmail/A 8334-2024 FSC-klagomål mail.docx", "A 8334-2024")</f>
        <v/>
      </c>
      <c r="AA96">
        <f>HYPERLINK("https://klasma.github.io/Logging_0860/tillsyn/A 8334-2024 tillsynsbegäran.docx", "A 8334-2024")</f>
        <v/>
      </c>
      <c r="AB96">
        <f>HYPERLINK("https://klasma.github.io/Logging_0860/tillsynsmail/A 8334-2024 tillsynsbegäran mail.docx", "A 8334-2024")</f>
        <v/>
      </c>
    </row>
    <row r="97" ht="15" customHeight="1">
      <c r="A97" t="inlineStr">
        <is>
          <t>A 4963-2025</t>
        </is>
      </c>
      <c r="B97" t="inlineStr">
        <is>
          <t>avverkningsanmälan</t>
        </is>
      </c>
      <c r="C97" t="inlineStr">
        <is>
          <t>Föryngringsavverkning</t>
        </is>
      </c>
      <c r="D97" s="1" t="n">
        <v>45690</v>
      </c>
      <c r="E97" s="1" t="n">
        <v>46217</v>
      </c>
      <c r="F97" t="inlineStr">
        <is>
          <t>KALMAR LÄN</t>
        </is>
      </c>
      <c r="G97" t="inlineStr">
        <is>
          <t>HULTSFRED</t>
        </is>
      </c>
      <c r="H97" t="inlineStr">
        <is>
          <t>Sveaskog</t>
        </is>
      </c>
      <c r="I97" t="n">
        <v>5.1</v>
      </c>
      <c r="J97" t="n">
        <v>1</v>
      </c>
      <c r="K97" t="n">
        <v>0</v>
      </c>
      <c r="L97" t="n">
        <v>0</v>
      </c>
      <c r="M97" t="n">
        <v>0</v>
      </c>
      <c r="N97" t="n">
        <v>0</v>
      </c>
      <c r="O97" t="n">
        <v>0</v>
      </c>
      <c r="P97" t="n">
        <v>0</v>
      </c>
      <c r="Q97" t="n">
        <v>0</v>
      </c>
      <c r="R97" t="n">
        <v>0</v>
      </c>
      <c r="S97" t="n">
        <v>1</v>
      </c>
      <c r="T97" t="n">
        <v>1</v>
      </c>
      <c r="U97" s="2" t="inlineStr">
        <is>
          <t>Spillkråka</t>
        </is>
      </c>
      <c r="V97">
        <f>HYPERLINK("https://klasma.github.io/Logging_0860/artfynd/A 4963-2025 artfynd.xlsx", "A 4963-2025")</f>
        <v/>
      </c>
      <c r="W97">
        <f>HYPERLINK("https://klasma.github.io/Logging_0860/kartor/A 4963-2025 karta.png", "A 4963-2025")</f>
        <v/>
      </c>
      <c r="Y97">
        <f>HYPERLINK("https://klasma.github.io/Logging_0860/klagomål/A 4963-2025 FSC-klagomål.docx", "A 4963-2025")</f>
        <v/>
      </c>
      <c r="Z97">
        <f>HYPERLINK("https://klasma.github.io/Logging_0860/klagomålsmail/A 4963-2025 FSC-klagomål mail.docx", "A 4963-2025")</f>
        <v/>
      </c>
      <c r="AA97">
        <f>HYPERLINK("https://klasma.github.io/Logging_0860/tillsyn/A 4963-2025 tillsynsbegäran.docx", "A 4963-2025")</f>
        <v/>
      </c>
      <c r="AB97">
        <f>HYPERLINK("https://klasma.github.io/Logging_0860/tillsynsmail/A 4963-2025 tillsynsbegäran mail.docx", "A 4963-2025")</f>
        <v/>
      </c>
      <c r="AC97">
        <f>HYPERLINK("https://klasma.github.io/Logging_0860/fåglar/A 4963-2025 prioriterade fågelarter.docx", "A 4963-2025")</f>
        <v/>
      </c>
    </row>
    <row r="98" ht="15" customHeight="1">
      <c r="A98" t="inlineStr">
        <is>
          <t>A 41608-2025</t>
        </is>
      </c>
      <c r="B98" t="inlineStr">
        <is>
          <t>avverkningsanmälan</t>
        </is>
      </c>
      <c r="C98" t="inlineStr">
        <is>
          <t>Föryngringsavverkning</t>
        </is>
      </c>
      <c r="D98" s="1" t="n">
        <v>45901</v>
      </c>
      <c r="E98" s="1" t="n">
        <v>46217</v>
      </c>
      <c r="F98" t="inlineStr">
        <is>
          <t>KALMAR LÄN</t>
        </is>
      </c>
      <c r="G98" t="inlineStr">
        <is>
          <t>HULTSFRED</t>
        </is>
      </c>
      <c r="I98" t="n">
        <v>7.4</v>
      </c>
      <c r="J98" t="n">
        <v>1</v>
      </c>
      <c r="K98" t="n">
        <v>0</v>
      </c>
      <c r="L98" t="n">
        <v>0</v>
      </c>
      <c r="M98" t="n">
        <v>0</v>
      </c>
      <c r="N98" t="n">
        <v>0</v>
      </c>
      <c r="O98" t="n">
        <v>0</v>
      </c>
      <c r="P98" t="n">
        <v>0</v>
      </c>
      <c r="Q98" t="n">
        <v>0</v>
      </c>
      <c r="R98" t="n">
        <v>0</v>
      </c>
      <c r="S98" t="n">
        <v>1</v>
      </c>
      <c r="T98" t="n">
        <v>1</v>
      </c>
      <c r="U98" s="2" t="inlineStr">
        <is>
          <t>Tjäder</t>
        </is>
      </c>
      <c r="V98">
        <f>HYPERLINK("https://klasma.github.io/Logging_0860/artfynd/A 41608-2025 artfynd.xlsx", "A 41608-2025")</f>
        <v/>
      </c>
      <c r="W98">
        <f>HYPERLINK("https://klasma.github.io/Logging_0860/kartor/A 41608-2025 karta.png", "A 41608-2025")</f>
        <v/>
      </c>
      <c r="Y98">
        <f>HYPERLINK("https://klasma.github.io/Logging_0860/klagomål/A 41608-2025 FSC-klagomål.docx", "A 41608-2025")</f>
        <v/>
      </c>
      <c r="Z98">
        <f>HYPERLINK("https://klasma.github.io/Logging_0860/klagomålsmail/A 41608-2025 FSC-klagomål mail.docx", "A 41608-2025")</f>
        <v/>
      </c>
      <c r="AA98">
        <f>HYPERLINK("https://klasma.github.io/Logging_0860/tillsyn/A 41608-2025 tillsynsbegäran.docx", "A 41608-2025")</f>
        <v/>
      </c>
      <c r="AB98">
        <f>HYPERLINK("https://klasma.github.io/Logging_0860/tillsynsmail/A 41608-2025 tillsynsbegäran mail.docx", "A 41608-2025")</f>
        <v/>
      </c>
      <c r="AC98">
        <f>HYPERLINK("https://klasma.github.io/Logging_0860/fåglar/A 41608-2025 prioriterade fågelarter.docx", "A 41608-2025")</f>
        <v/>
      </c>
    </row>
    <row r="99" ht="15" customHeight="1">
      <c r="A99" t="inlineStr">
        <is>
          <t>A 16881-2025</t>
        </is>
      </c>
      <c r="B99" t="inlineStr">
        <is>
          <t>avverkningsanmälan</t>
        </is>
      </c>
      <c r="C99" t="inlineStr">
        <is>
          <t>Avverkning för att bevara och utveckla /försöksver</t>
        </is>
      </c>
      <c r="D99" s="1" t="n">
        <v>45755</v>
      </c>
      <c r="E99" s="1" t="n">
        <v>46217</v>
      </c>
      <c r="F99" t="inlineStr">
        <is>
          <t>KALMAR LÄN</t>
        </is>
      </c>
      <c r="G99" t="inlineStr">
        <is>
          <t>HULTSFRED</t>
        </is>
      </c>
      <c r="H99" t="inlineStr">
        <is>
          <t>Sveaskog</t>
        </is>
      </c>
      <c r="I99" t="n">
        <v>3.3</v>
      </c>
      <c r="J99" t="n">
        <v>1</v>
      </c>
      <c r="K99" t="n">
        <v>0</v>
      </c>
      <c r="L99" t="n">
        <v>1</v>
      </c>
      <c r="M99" t="n">
        <v>0</v>
      </c>
      <c r="N99" t="n">
        <v>0</v>
      </c>
      <c r="O99" t="n">
        <v>0</v>
      </c>
      <c r="P99" t="n">
        <v>0</v>
      </c>
      <c r="Q99" t="n">
        <v>1</v>
      </c>
      <c r="R99" t="n">
        <v>0</v>
      </c>
      <c r="S99" t="n">
        <v>1</v>
      </c>
      <c r="T99" t="n">
        <v>1</v>
      </c>
      <c r="U99" s="2" t="inlineStr">
        <is>
          <t>Enkelbeckasin</t>
        </is>
      </c>
      <c r="V99">
        <f>HYPERLINK("https://klasma.github.io/Logging_0860/artfynd/A 16881-2025 artfynd.xlsx", "A 16881-2025")</f>
        <v/>
      </c>
      <c r="W99">
        <f>HYPERLINK("https://klasma.github.io/Logging_0860/kartor/A 16881-2025 karta.png", "A 16881-2025")</f>
        <v/>
      </c>
      <c r="Y99">
        <f>HYPERLINK("https://klasma.github.io/Logging_0860/klagomål/A 16881-2025 FSC-klagomål.docx", "A 16881-2025")</f>
        <v/>
      </c>
      <c r="Z99">
        <f>HYPERLINK("https://klasma.github.io/Logging_0860/klagomålsmail/A 16881-2025 FSC-klagomål mail.docx", "A 16881-2025")</f>
        <v/>
      </c>
      <c r="AA99">
        <f>HYPERLINK("https://klasma.github.io/Logging_0860/tillsyn/A 16881-2025 tillsynsbegäran.docx", "A 16881-2025")</f>
        <v/>
      </c>
      <c r="AB99">
        <f>HYPERLINK("https://klasma.github.io/Logging_0860/tillsynsmail/A 16881-2025 tillsynsbegäran mail.docx", "A 16881-2025")</f>
        <v/>
      </c>
      <c r="AC99">
        <f>HYPERLINK("https://klasma.github.io/Logging_0860/fåglar/A 16881-2025 prioriterade fågelarter.docx", "A 16881-2025")</f>
        <v/>
      </c>
    </row>
    <row r="100" ht="15" customHeight="1">
      <c r="A100" t="inlineStr">
        <is>
          <t>A 23082-2024</t>
        </is>
      </c>
      <c r="B100" t="inlineStr">
        <is>
          <t>avverkningsanmälan</t>
        </is>
      </c>
      <c r="C100" t="inlineStr">
        <is>
          <t>Avverkning för annat ändamål</t>
        </is>
      </c>
      <c r="D100" s="1" t="n">
        <v>45450</v>
      </c>
      <c r="E100" s="1" t="n">
        <v>46217</v>
      </c>
      <c r="F100" t="inlineStr">
        <is>
          <t>KALMAR LÄN</t>
        </is>
      </c>
      <c r="G100" t="inlineStr">
        <is>
          <t>HULTSFRED</t>
        </is>
      </c>
      <c r="I100" t="n">
        <v>1.8</v>
      </c>
      <c r="J100" t="n">
        <v>1</v>
      </c>
      <c r="K100" t="n">
        <v>0</v>
      </c>
      <c r="L100" t="n">
        <v>0</v>
      </c>
      <c r="M100" t="n">
        <v>0</v>
      </c>
      <c r="N100" t="n">
        <v>0</v>
      </c>
      <c r="O100" t="n">
        <v>0</v>
      </c>
      <c r="P100" t="n">
        <v>0</v>
      </c>
      <c r="Q100" t="n">
        <v>0</v>
      </c>
      <c r="R100" t="n">
        <v>0</v>
      </c>
      <c r="S100" t="n">
        <v>1</v>
      </c>
      <c r="T100" t="n">
        <v>1</v>
      </c>
      <c r="U100" s="2" t="inlineStr">
        <is>
          <t>Spillkråka</t>
        </is>
      </c>
      <c r="V100">
        <f>HYPERLINK("https://klasma.github.io/Logging_0860/artfynd/A 23082-2024 artfynd.xlsx", "A 23082-2024")</f>
        <v/>
      </c>
      <c r="W100">
        <f>HYPERLINK("https://klasma.github.io/Logging_0860/kartor/A 23082-2024 karta.png", "A 23082-2024")</f>
        <v/>
      </c>
      <c r="Y100">
        <f>HYPERLINK("https://klasma.github.io/Logging_0860/klagomål/A 23082-2024 FSC-klagomål.docx", "A 23082-2024")</f>
        <v/>
      </c>
      <c r="Z100">
        <f>HYPERLINK("https://klasma.github.io/Logging_0860/klagomålsmail/A 23082-2024 FSC-klagomål mail.docx", "A 23082-2024")</f>
        <v/>
      </c>
      <c r="AA100">
        <f>HYPERLINK("https://klasma.github.io/Logging_0860/tillsyn/A 23082-2024 tillsynsbegäran.docx", "A 23082-2024")</f>
        <v/>
      </c>
      <c r="AB100">
        <f>HYPERLINK("https://klasma.github.io/Logging_0860/tillsynsmail/A 23082-2024 tillsynsbegäran mail.docx", "A 23082-2024")</f>
        <v/>
      </c>
      <c r="AC100">
        <f>HYPERLINK("https://klasma.github.io/Logging_0860/fåglar/A 23082-2024 prioriterade fågelarter.docx", "A 23082-2024")</f>
        <v/>
      </c>
    </row>
    <row r="101" ht="15" customHeight="1">
      <c r="A101" t="inlineStr">
        <is>
          <t>A 56100-2024</t>
        </is>
      </c>
      <c r="B101" t="inlineStr">
        <is>
          <t>avverkningsanmälan</t>
        </is>
      </c>
      <c r="C101" t="inlineStr">
        <is>
          <t>Föryngringsavverkning</t>
        </is>
      </c>
      <c r="D101" s="1" t="n">
        <v>45624</v>
      </c>
      <c r="E101" s="1" t="n">
        <v>46217</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s="2" t="inlineStr">
        <is>
          <t>Kungsfågel</t>
        </is>
      </c>
      <c r="V101">
        <f>HYPERLINK("https://klasma.github.io/Logging_0860/artfynd/A 56100-2024 artfynd.xlsx", "A 56100-2024")</f>
        <v/>
      </c>
      <c r="W101">
        <f>HYPERLINK("https://klasma.github.io/Logging_0860/kartor/A 56100-2024 karta.png", "A 56100-2024")</f>
        <v/>
      </c>
      <c r="Y101">
        <f>HYPERLINK("https://klasma.github.io/Logging_0860/klagomål/A 56100-2024 FSC-klagomål.docx", "A 56100-2024")</f>
        <v/>
      </c>
      <c r="Z101">
        <f>HYPERLINK("https://klasma.github.io/Logging_0860/klagomålsmail/A 56100-2024 FSC-klagomål mail.docx", "A 56100-2024")</f>
        <v/>
      </c>
      <c r="AA101">
        <f>HYPERLINK("https://klasma.github.io/Logging_0860/tillsyn/A 56100-2024 tillsynsbegäran.docx", "A 56100-2024")</f>
        <v/>
      </c>
      <c r="AB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46217</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HYPERLINK("https://klasma.github.io/Logging_0860/artfynd/A 10333-2023 artfynd.xlsx", "A 10333-2023")</f>
        <v/>
      </c>
      <c r="W102">
        <f>HYPERLINK("https://klasma.github.io/Logging_0860/kartor/A 10333-2023 karta.png", "A 10333-2023")</f>
        <v/>
      </c>
      <c r="Y102">
        <f>HYPERLINK("https://klasma.github.io/Logging_0860/klagomål/A 10333-2023 FSC-klagomål.docx", "A 10333-2023")</f>
        <v/>
      </c>
      <c r="Z102">
        <f>HYPERLINK("https://klasma.github.io/Logging_0860/klagomålsmail/A 10333-2023 FSC-klagomål mail.docx", "A 10333-2023")</f>
        <v/>
      </c>
      <c r="AA102">
        <f>HYPERLINK("https://klasma.github.io/Logging_0860/tillsyn/A 10333-2023 tillsynsbegäran.docx", "A 10333-2023")</f>
        <v/>
      </c>
      <c r="AB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46217</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s="2" t="inlineStr">
        <is>
          <t>Fläcknycklar</t>
        </is>
      </c>
      <c r="V103">
        <f>HYPERLINK("https://klasma.github.io/Logging_0860/artfynd/A 25475-2022 artfynd.xlsx", "A 25475-2022")</f>
        <v/>
      </c>
      <c r="W103">
        <f>HYPERLINK("https://klasma.github.io/Logging_0860/kartor/A 25475-2022 karta.png", "A 25475-2022")</f>
        <v/>
      </c>
      <c r="Y103">
        <f>HYPERLINK("https://klasma.github.io/Logging_0860/klagomål/A 25475-2022 FSC-klagomål.docx", "A 25475-2022")</f>
        <v/>
      </c>
      <c r="Z103">
        <f>HYPERLINK("https://klasma.github.io/Logging_0860/klagomålsmail/A 25475-2022 FSC-klagomål mail.docx", "A 25475-2022")</f>
        <v/>
      </c>
      <c r="AA103">
        <f>HYPERLINK("https://klasma.github.io/Logging_0860/tillsyn/A 25475-2022 tillsynsbegäran.docx", "A 25475-2022")</f>
        <v/>
      </c>
      <c r="AB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46217</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s="2" t="inlineStr">
        <is>
          <t>Brandticka</t>
        </is>
      </c>
      <c r="V104">
        <f>HYPERLINK("https://klasma.github.io/Logging_0860/artfynd/A 57173-2024 artfynd.xlsx", "A 57173-2024")</f>
        <v/>
      </c>
      <c r="W104">
        <f>HYPERLINK("https://klasma.github.io/Logging_0860/kartor/A 57173-2024 karta.png", "A 57173-2024")</f>
        <v/>
      </c>
      <c r="Y104">
        <f>HYPERLINK("https://klasma.github.io/Logging_0860/klagomål/A 57173-2024 FSC-klagomål.docx", "A 57173-2024")</f>
        <v/>
      </c>
      <c r="Z104">
        <f>HYPERLINK("https://klasma.github.io/Logging_0860/klagomålsmail/A 57173-2024 FSC-klagomål mail.docx", "A 57173-2024")</f>
        <v/>
      </c>
      <c r="AA104">
        <f>HYPERLINK("https://klasma.github.io/Logging_0860/tillsyn/A 57173-2024 tillsynsbegäran.docx", "A 57173-2024")</f>
        <v/>
      </c>
      <c r="AB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46217</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s="2" t="inlineStr">
        <is>
          <t>Guldlockmossa</t>
        </is>
      </c>
      <c r="V105">
        <f>HYPERLINK("https://klasma.github.io/Logging_0860/artfynd/A 58470-2024 artfynd.xlsx", "A 58470-2024")</f>
        <v/>
      </c>
      <c r="W105">
        <f>HYPERLINK("https://klasma.github.io/Logging_0860/kartor/A 58470-2024 karta.png", "A 58470-2024")</f>
        <v/>
      </c>
      <c r="Y105">
        <f>HYPERLINK("https://klasma.github.io/Logging_0860/klagomål/A 58470-2024 FSC-klagomål.docx", "A 58470-2024")</f>
        <v/>
      </c>
      <c r="Z105">
        <f>HYPERLINK("https://klasma.github.io/Logging_0860/klagomålsmail/A 58470-2024 FSC-klagomål mail.docx", "A 58470-2024")</f>
        <v/>
      </c>
      <c r="AA105">
        <f>HYPERLINK("https://klasma.github.io/Logging_0860/tillsyn/A 58470-2024 tillsynsbegäran.docx", "A 58470-2024")</f>
        <v/>
      </c>
      <c r="AB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46217</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s="2" t="inlineStr">
        <is>
          <t>Dvärgtufs</t>
        </is>
      </c>
      <c r="V106">
        <f>HYPERLINK("https://klasma.github.io/Logging_0860/artfynd/A 57001-2024 artfynd.xlsx", "A 57001-2024")</f>
        <v/>
      </c>
      <c r="W106">
        <f>HYPERLINK("https://klasma.github.io/Logging_0860/kartor/A 57001-2024 karta.png", "A 57001-2024")</f>
        <v/>
      </c>
      <c r="Y106">
        <f>HYPERLINK("https://klasma.github.io/Logging_0860/klagomål/A 57001-2024 FSC-klagomål.docx", "A 57001-2024")</f>
        <v/>
      </c>
      <c r="Z106">
        <f>HYPERLINK("https://klasma.github.io/Logging_0860/klagomålsmail/A 57001-2024 FSC-klagomål mail.docx", "A 57001-2024")</f>
        <v/>
      </c>
      <c r="AA106">
        <f>HYPERLINK("https://klasma.github.io/Logging_0860/tillsyn/A 57001-2024 tillsynsbegäran.docx", "A 57001-2024")</f>
        <v/>
      </c>
      <c r="AB106">
        <f>HYPERLINK("https://klasma.github.io/Logging_0860/tillsynsmail/A 57001-2024 tillsynsbegäran mail.docx", "A 57001-2024")</f>
        <v/>
      </c>
    </row>
    <row r="107" ht="15" customHeight="1">
      <c r="A107" t="inlineStr">
        <is>
          <t>A 2629-2023</t>
        </is>
      </c>
      <c r="B107" t="inlineStr">
        <is>
          <t>avverkningsanmälan</t>
        </is>
      </c>
      <c r="C107" t="inlineStr">
        <is>
          <t>Avverkning för annat ändamål</t>
        </is>
      </c>
      <c r="D107" s="1" t="n">
        <v>44942</v>
      </c>
      <c r="E107" s="1" t="n">
        <v>46217</v>
      </c>
      <c r="F107" t="inlineStr">
        <is>
          <t>KALMAR LÄN</t>
        </is>
      </c>
      <c r="G107" t="inlineStr">
        <is>
          <t>HULTSFRED</t>
        </is>
      </c>
      <c r="I107" t="n">
        <v>58.7</v>
      </c>
      <c r="J107" t="n">
        <v>0</v>
      </c>
      <c r="K107" t="n">
        <v>1</v>
      </c>
      <c r="L107" t="n">
        <v>0</v>
      </c>
      <c r="M107" t="n">
        <v>0</v>
      </c>
      <c r="N107" t="n">
        <v>0</v>
      </c>
      <c r="O107" t="n">
        <v>0</v>
      </c>
      <c r="P107" t="n">
        <v>0</v>
      </c>
      <c r="Q107" t="n">
        <v>0</v>
      </c>
      <c r="R107" t="n">
        <v>0</v>
      </c>
      <c r="S107" t="n">
        <v>1</v>
      </c>
      <c r="T107" t="n">
        <v>1</v>
      </c>
      <c r="U107" s="2" t="inlineStr">
        <is>
          <t>Brun nållav</t>
        </is>
      </c>
      <c r="V107">
        <f>HYPERLINK("https://klasma.github.io/Logging_0860/artfynd/A 2629-2023 artfynd.xlsx", "A 2629-2023")</f>
        <v/>
      </c>
      <c r="W107">
        <f>HYPERLINK("https://klasma.github.io/Logging_0860/kartor/A 2629-2023 karta.png", "A 2629-2023")</f>
        <v/>
      </c>
      <c r="Y107">
        <f>HYPERLINK("https://klasma.github.io/Logging_0860/klagomål/A 2629-2023 FSC-klagomål.docx", "A 2629-2023")</f>
        <v/>
      </c>
      <c r="Z107">
        <f>HYPERLINK("https://klasma.github.io/Logging_0860/klagomålsmail/A 2629-2023 FSC-klagomål mail.docx", "A 2629-2023")</f>
        <v/>
      </c>
      <c r="AA107">
        <f>HYPERLINK("https://klasma.github.io/Logging_0860/tillsyn/A 2629-2023 tillsynsbegäran.docx", "A 2629-2023")</f>
        <v/>
      </c>
      <c r="AB107">
        <f>HYPERLINK("https://klasma.github.io/Logging_0860/tillsynsmail/A 2629-2023 tillsynsbegäran mail.docx", "A 2629-2023")</f>
        <v/>
      </c>
    </row>
    <row r="108" ht="15" customHeight="1">
      <c r="A108" t="inlineStr">
        <is>
          <t>S 2271-2022</t>
        </is>
      </c>
      <c r="B108" t="inlineStr">
        <is>
          <t>samrådsanmälan</t>
        </is>
      </c>
      <c r="C108" t="inlineStr">
        <is>
          <t>Åtgärd i nyckelbiotop</t>
        </is>
      </c>
      <c r="D108" s="1" t="n">
        <v>44683</v>
      </c>
      <c r="E108" s="1" t="n">
        <v>46217</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s="2" t="inlineStr">
        <is>
          <t>Gullpudra</t>
        </is>
      </c>
      <c r="V108">
        <f>HYPERLINK("https://klasma.github.io/Logging_0860/artfynd/S 2271-2022 artfynd.xlsx", "S 2271-2022")</f>
        <v/>
      </c>
      <c r="W108">
        <f>HYPERLINK("https://klasma.github.io/Logging_0860/kartor/S 2271-2022 karta.png", "S 2271-2022")</f>
        <v/>
      </c>
      <c r="Y108">
        <f>HYPERLINK("https://klasma.github.io/Logging_0860/klagomål/S 2271-2022 FSC-klagomål.docx", "S 2271-2022")</f>
        <v/>
      </c>
      <c r="Z108">
        <f>HYPERLINK("https://klasma.github.io/Logging_0860/klagomålsmail/S 2271-2022 FSC-klagomål mail.docx", "S 2271-2022")</f>
        <v/>
      </c>
      <c r="AA108">
        <f>HYPERLINK("https://klasma.github.io/Logging_0860/tillsyn/S 2271-2022 tillsynsbegäran.docx", "S 2271-2022")</f>
        <v/>
      </c>
      <c r="AB108">
        <f>HYPERLINK("https://klasma.github.io/Logging_0860/tillsynsmail/S 2271-2022 tillsynsbegäran mail.docx", "S 2271-2022")</f>
        <v/>
      </c>
    </row>
    <row r="109" ht="15" customHeight="1">
      <c r="A109" t="inlineStr">
        <is>
          <t>S 86-2025</t>
        </is>
      </c>
      <c r="B109" t="inlineStr">
        <is>
          <t>samrådsanmälan</t>
        </is>
      </c>
      <c r="C109" t="inlineStr">
        <is>
          <t>Annan skogsbruksåtgärd</t>
        </is>
      </c>
      <c r="D109" s="1" t="n">
        <v>45671</v>
      </c>
      <c r="E109" s="1" t="n">
        <v>46217</v>
      </c>
      <c r="F109" t="inlineStr">
        <is>
          <t>KALMAR LÄN</t>
        </is>
      </c>
      <c r="G109" t="inlineStr">
        <is>
          <t>HULTSFRED</t>
        </is>
      </c>
      <c r="I109" t="n">
        <v>1</v>
      </c>
      <c r="J109" t="n">
        <v>0</v>
      </c>
      <c r="K109" t="n">
        <v>0</v>
      </c>
      <c r="L109" t="n">
        <v>1</v>
      </c>
      <c r="M109" t="n">
        <v>0</v>
      </c>
      <c r="N109" t="n">
        <v>0</v>
      </c>
      <c r="O109" t="n">
        <v>0</v>
      </c>
      <c r="P109" t="n">
        <v>0</v>
      </c>
      <c r="Q109" t="n">
        <v>1</v>
      </c>
      <c r="R109" t="n">
        <v>0</v>
      </c>
      <c r="S109" t="n">
        <v>1</v>
      </c>
      <c r="T109" t="n">
        <v>1</v>
      </c>
      <c r="U109" s="2" t="inlineStr">
        <is>
          <t>Spindelört</t>
        </is>
      </c>
      <c r="V109">
        <f>HYPERLINK("https://klasma.github.io/Logging_0860/artfynd/S 86-2025 artfynd.xlsx", "S 86-2025")</f>
        <v/>
      </c>
      <c r="W109">
        <f>HYPERLINK("https://klasma.github.io/Logging_0860/kartor/S 86-2025 karta.png", "S 86-2025")</f>
        <v/>
      </c>
      <c r="Y109">
        <f>HYPERLINK("https://klasma.github.io/Logging_0860/klagomål/S 86-2025 FSC-klagomål.docx", "S 86-2025")</f>
        <v/>
      </c>
      <c r="Z109">
        <f>HYPERLINK("https://klasma.github.io/Logging_0860/klagomålsmail/S 86-2025 FSC-klagomål mail.docx", "S 86-2025")</f>
        <v/>
      </c>
      <c r="AA109">
        <f>HYPERLINK("https://klasma.github.io/Logging_0860/tillsyn/S 86-2025 tillsynsbegäran.docx", "S 86-2025")</f>
        <v/>
      </c>
      <c r="AB109">
        <f>HYPERLINK("https://klasma.github.io/Logging_0860/tillsynsmail/S 86-2025 tillsynsbegäran mail.docx", "S 86-2025")</f>
        <v/>
      </c>
    </row>
    <row r="110" ht="15" customHeight="1">
      <c r="A110" t="inlineStr">
        <is>
          <t>S 2667-2024</t>
        </is>
      </c>
      <c r="B110" t="inlineStr">
        <is>
          <t>samrådsanmälan</t>
        </is>
      </c>
      <c r="C110" t="inlineStr">
        <is>
          <t>Askåterföring</t>
        </is>
      </c>
      <c r="D110" s="1" t="n">
        <v>45478</v>
      </c>
      <c r="E110" s="1" t="n">
        <v>46217</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46217</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46217</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46217</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46217</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46217</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46217</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56140-2021</t>
        </is>
      </c>
      <c r="B117" t="inlineStr">
        <is>
          <t>avverkningsanmälan</t>
        </is>
      </c>
      <c r="C117" t="inlineStr">
        <is>
          <t>Föryngringsavverkning</t>
        </is>
      </c>
      <c r="D117" s="1" t="n">
        <v>44477</v>
      </c>
      <c r="E117" s="1" t="n">
        <v>46217</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48249-2021</t>
        </is>
      </c>
      <c r="B118" t="inlineStr">
        <is>
          <t>avverkningsanmälan</t>
        </is>
      </c>
      <c r="C118" t="inlineStr">
        <is>
          <t>Föryngringsavverkning</t>
        </is>
      </c>
      <c r="D118" s="1" t="n">
        <v>44449</v>
      </c>
      <c r="E118" s="1" t="n">
        <v>46217</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41728-2022</t>
        </is>
      </c>
      <c r="B119" t="inlineStr">
        <is>
          <t>avverkningsanmälan</t>
        </is>
      </c>
      <c r="C119" t="inlineStr">
        <is>
          <t>Föryngringsavverkning</t>
        </is>
      </c>
      <c r="D119" s="1" t="n">
        <v>44827</v>
      </c>
      <c r="E119" s="1" t="n">
        <v>46217</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41729-2022</t>
        </is>
      </c>
      <c r="B120" t="inlineStr">
        <is>
          <t>avverkningsanmälan</t>
        </is>
      </c>
      <c r="C120" t="inlineStr">
        <is>
          <t>Föryngringsavverkning</t>
        </is>
      </c>
      <c r="D120" s="1" t="n">
        <v>44827</v>
      </c>
      <c r="E120" s="1" t="n">
        <v>46217</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43108-2022</t>
        </is>
      </c>
      <c r="B121" t="inlineStr">
        <is>
          <t>avverkningsanmälan</t>
        </is>
      </c>
      <c r="C121" t="inlineStr">
        <is>
          <t>Föryngringsavverkning</t>
        </is>
      </c>
      <c r="D121" s="1" t="n">
        <v>44833</v>
      </c>
      <c r="E121" s="1" t="n">
        <v>46217</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298-2022</t>
        </is>
      </c>
      <c r="B122" t="inlineStr">
        <is>
          <t>avverkningsanmälan</t>
        </is>
      </c>
      <c r="C122" t="inlineStr">
        <is>
          <t>Föryngringsavverkning</t>
        </is>
      </c>
      <c r="D122" s="1" t="n">
        <v>44564</v>
      </c>
      <c r="E122" s="1" t="n">
        <v>46217</v>
      </c>
      <c r="F122" t="inlineStr">
        <is>
          <t>KALMAR LÄN</t>
        </is>
      </c>
      <c r="G122" t="inlineStr">
        <is>
          <t>HULTSFRED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46217</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299-2022</t>
        </is>
      </c>
      <c r="B124" t="inlineStr">
        <is>
          <t>avverkningsanmälan</t>
        </is>
      </c>
      <c r="C124" t="inlineStr">
        <is>
          <t>Föryngringsavverkning</t>
        </is>
      </c>
      <c r="D124" s="1" t="n">
        <v>44564</v>
      </c>
      <c r="E124" s="1" t="n">
        <v>46217</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48732-2021</t>
        </is>
      </c>
      <c r="B125" t="inlineStr">
        <is>
          <t>avverkningsanmälan</t>
        </is>
      </c>
      <c r="C125" t="inlineStr">
        <is>
          <t>Föryngringsavverkning</t>
        </is>
      </c>
      <c r="D125" s="1" t="n">
        <v>44452</v>
      </c>
      <c r="E125" s="1" t="n">
        <v>46217</v>
      </c>
      <c r="F125" t="inlineStr">
        <is>
          <t>KALMAR LÄN</t>
        </is>
      </c>
      <c r="G125" t="inlineStr">
        <is>
          <t>HULTSFRED</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46217</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46217</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46217</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46217</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46217</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46217</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46217</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46217</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44200-2022</t>
        </is>
      </c>
      <c r="B134" t="inlineStr">
        <is>
          <t>avverkningsanmälan</t>
        </is>
      </c>
      <c r="C134" t="inlineStr">
        <is>
          <t>Föryngringsavverkning</t>
        </is>
      </c>
      <c r="D134" s="1" t="n">
        <v>44839</v>
      </c>
      <c r="E134" s="1" t="n">
        <v>46217</v>
      </c>
      <c r="F134" t="inlineStr">
        <is>
          <t>KALMAR LÄN</t>
        </is>
      </c>
      <c r="G134" t="inlineStr">
        <is>
          <t>HULTSFRED</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57186-2021</t>
        </is>
      </c>
      <c r="B135" t="inlineStr">
        <is>
          <t>avverkningsanmälan</t>
        </is>
      </c>
      <c r="C135" t="inlineStr">
        <is>
          <t>Föryngringsavverkning</t>
        </is>
      </c>
      <c r="D135" s="1" t="n">
        <v>44482</v>
      </c>
      <c r="E135" s="1" t="n">
        <v>46217</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53296-2021</t>
        </is>
      </c>
      <c r="B136" t="inlineStr">
        <is>
          <t>avverkningsanmälan</t>
        </is>
      </c>
      <c r="C136" t="inlineStr">
        <is>
          <t>Avverkning för att bevara och utveckla /försöksver</t>
        </is>
      </c>
      <c r="D136" s="1" t="n">
        <v>44468</v>
      </c>
      <c r="E136" s="1" t="n">
        <v>46217</v>
      </c>
      <c r="F136" t="inlineStr">
        <is>
          <t>KALMAR LÄN</t>
        </is>
      </c>
      <c r="G136" t="inlineStr">
        <is>
          <t>HULTSFRED</t>
        </is>
      </c>
      <c r="H136" t="inlineStr">
        <is>
          <t>Sveaskog</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16813-2022</t>
        </is>
      </c>
      <c r="B137" t="inlineStr">
        <is>
          <t>avverkningsanmälan</t>
        </is>
      </c>
      <c r="C137" t="inlineStr">
        <is>
          <t>Föryngringsavverkning</t>
        </is>
      </c>
      <c r="D137" s="1" t="n">
        <v>44673</v>
      </c>
      <c r="E137" s="1" t="n">
        <v>46217</v>
      </c>
      <c r="F137" t="inlineStr">
        <is>
          <t>KALMAR LÄN</t>
        </is>
      </c>
      <c r="G137" t="inlineStr">
        <is>
          <t>HULTSFRED</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20566-2022</t>
        </is>
      </c>
      <c r="B138" t="inlineStr">
        <is>
          <t>avverkningsanmälan</t>
        </is>
      </c>
      <c r="C138" t="inlineStr">
        <is>
          <t>Föryngringsavverkning</t>
        </is>
      </c>
      <c r="D138" s="1" t="n">
        <v>44700</v>
      </c>
      <c r="E138" s="1" t="n">
        <v>46217</v>
      </c>
      <c r="F138" t="inlineStr">
        <is>
          <t>KALMAR LÄN</t>
        </is>
      </c>
      <c r="G138" t="inlineStr">
        <is>
          <t>HULTSFRED</t>
        </is>
      </c>
      <c r="H138" t="inlineStr">
        <is>
          <t>Sveaskog</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21337-2022</t>
        </is>
      </c>
      <c r="B139" t="inlineStr">
        <is>
          <t>avverkningsanmälan</t>
        </is>
      </c>
      <c r="C139" t="inlineStr">
        <is>
          <t>Föryngringsavverkning</t>
        </is>
      </c>
      <c r="D139" s="1" t="n">
        <v>44705</v>
      </c>
      <c r="E139" s="1" t="n">
        <v>46217</v>
      </c>
      <c r="F139" t="inlineStr">
        <is>
          <t>KALMAR LÄN</t>
        </is>
      </c>
      <c r="G139" t="inlineStr">
        <is>
          <t>HULTSFRED</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11566-2022</t>
        </is>
      </c>
      <c r="B140" t="inlineStr">
        <is>
          <t>avverkningsanmälan</t>
        </is>
      </c>
      <c r="C140" t="inlineStr">
        <is>
          <t>Föryngringsavverkning</t>
        </is>
      </c>
      <c r="D140" s="1" t="n">
        <v>44631</v>
      </c>
      <c r="E140" s="1" t="n">
        <v>46217</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59134-2021</t>
        </is>
      </c>
      <c r="B141" t="inlineStr">
        <is>
          <t>avverkningsanmälan</t>
        </is>
      </c>
      <c r="C141" t="inlineStr">
        <is>
          <t>Föryngringsavverkning</t>
        </is>
      </c>
      <c r="D141" s="1" t="n">
        <v>44490</v>
      </c>
      <c r="E141" s="1" t="n">
        <v>46217</v>
      </c>
      <c r="F141" t="inlineStr">
        <is>
          <t>KALMAR LÄN</t>
        </is>
      </c>
      <c r="G141" t="inlineStr">
        <is>
          <t>HULTSFRED</t>
        </is>
      </c>
      <c r="I141" t="n">
        <v>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46217</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46217</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46217</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46217</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46217</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46217</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46217</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46217</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46217</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46217</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46217</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46217</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51585-2021</t>
        </is>
      </c>
      <c r="B154" t="inlineStr">
        <is>
          <t>avverkningsanmälan</t>
        </is>
      </c>
      <c r="C154" t="inlineStr">
        <is>
          <t>Föryngringsavverkning</t>
        </is>
      </c>
      <c r="D154" s="1" t="n">
        <v>44462</v>
      </c>
      <c r="E154" s="1" t="n">
        <v>46217</v>
      </c>
      <c r="F154" t="inlineStr">
        <is>
          <t>KALMAR LÄN</t>
        </is>
      </c>
      <c r="G154" t="inlineStr">
        <is>
          <t>HULTSFRED</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68091-2021</t>
        </is>
      </c>
      <c r="B155" t="inlineStr">
        <is>
          <t>avverkningsanmälan</t>
        </is>
      </c>
      <c r="C155" t="inlineStr">
        <is>
          <t>Föryngringsavverkning</t>
        </is>
      </c>
      <c r="D155" s="1" t="n">
        <v>44526</v>
      </c>
      <c r="E155" s="1" t="n">
        <v>46217</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46217</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46217</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46217</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46217</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46217</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46217</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46217</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46217</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46217</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27810-2022</t>
        </is>
      </c>
      <c r="B165" t="inlineStr">
        <is>
          <t>avverkningsanmälan</t>
        </is>
      </c>
      <c r="C165" t="inlineStr">
        <is>
          <t>Föryngringsavverkning</t>
        </is>
      </c>
      <c r="D165" s="1" t="n">
        <v>44743</v>
      </c>
      <c r="E165" s="1" t="n">
        <v>46217</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57184-2021</t>
        </is>
      </c>
      <c r="B166" t="inlineStr">
        <is>
          <t>avverkningsanmälan</t>
        </is>
      </c>
      <c r="C166" t="inlineStr">
        <is>
          <t>Föryngringsavverkning</t>
        </is>
      </c>
      <c r="D166" s="1" t="n">
        <v>44482</v>
      </c>
      <c r="E166" s="1" t="n">
        <v>46217</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46217</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46217</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46217</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60719-2021</t>
        </is>
      </c>
      <c r="B170" t="inlineStr">
        <is>
          <t>avverkningsanmälan</t>
        </is>
      </c>
      <c r="C170" t="inlineStr">
        <is>
          <t>Föryngringsavverkning</t>
        </is>
      </c>
      <c r="D170" s="1" t="n">
        <v>44496</v>
      </c>
      <c r="E170" s="1" t="n">
        <v>46217</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46060-2021</t>
        </is>
      </c>
      <c r="B171" t="inlineStr">
        <is>
          <t>avverkningsanmälan</t>
        </is>
      </c>
      <c r="C171" t="inlineStr">
        <is>
          <t>Föryngringsavverkning</t>
        </is>
      </c>
      <c r="D171" s="1" t="n">
        <v>44441</v>
      </c>
      <c r="E171" s="1" t="n">
        <v>46217</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66721-2021</t>
        </is>
      </c>
      <c r="B172" t="inlineStr">
        <is>
          <t>avverkningsanmälan</t>
        </is>
      </c>
      <c r="C172" t="inlineStr">
        <is>
          <t>Föryngringsavverkning</t>
        </is>
      </c>
      <c r="D172" s="1" t="n">
        <v>44519</v>
      </c>
      <c r="E172" s="1" t="n">
        <v>46217</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66725-2021</t>
        </is>
      </c>
      <c r="B173" t="inlineStr">
        <is>
          <t>avverkningsanmälan</t>
        </is>
      </c>
      <c r="C173" t="inlineStr">
        <is>
          <t>Föryngringsavverkning</t>
        </is>
      </c>
      <c r="D173" s="1" t="n">
        <v>44519</v>
      </c>
      <c r="E173" s="1" t="n">
        <v>46217</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66728-2021</t>
        </is>
      </c>
      <c r="B174" t="inlineStr">
        <is>
          <t>avverkningsanmälan</t>
        </is>
      </c>
      <c r="C174" t="inlineStr">
        <is>
          <t>Föryngringsavverkning</t>
        </is>
      </c>
      <c r="D174" s="1" t="n">
        <v>44520</v>
      </c>
      <c r="E174" s="1" t="n">
        <v>46217</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54733-2021</t>
        </is>
      </c>
      <c r="B175" t="inlineStr">
        <is>
          <t>avverkningsanmälan</t>
        </is>
      </c>
      <c r="C175" t="inlineStr">
        <is>
          <t>Föryngringsavverkning</t>
        </is>
      </c>
      <c r="D175" s="1" t="n">
        <v>44473</v>
      </c>
      <c r="E175" s="1" t="n">
        <v>46217</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46217</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46217</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46217</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46217</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46217</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73794-2021</t>
        </is>
      </c>
      <c r="B181" t="inlineStr">
        <is>
          <t>avverkningsanmälan</t>
        </is>
      </c>
      <c r="C181" t="inlineStr">
        <is>
          <t>Föryngringsavverkning</t>
        </is>
      </c>
      <c r="D181" s="1" t="n">
        <v>44552</v>
      </c>
      <c r="E181" s="1" t="n">
        <v>46217</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40596-2021</t>
        </is>
      </c>
      <c r="B182" t="inlineStr">
        <is>
          <t>avverkningsanmälan</t>
        </is>
      </c>
      <c r="C182" t="inlineStr">
        <is>
          <t>Föryngringsavverkning</t>
        </is>
      </c>
      <c r="D182" s="1" t="n">
        <v>44420</v>
      </c>
      <c r="E182" s="1" t="n">
        <v>46217</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46217</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46217</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12976-2022</t>
        </is>
      </c>
      <c r="B185" t="inlineStr">
        <is>
          <t>avverkningsanmälan</t>
        </is>
      </c>
      <c r="C185" t="inlineStr">
        <is>
          <t>Föryngringsavverkning</t>
        </is>
      </c>
      <c r="D185" s="1" t="n">
        <v>44643</v>
      </c>
      <c r="E185" s="1" t="n">
        <v>46217</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s="2" t="inlineStr"/>
    </row>
    <row r="186" ht="15" customHeight="1">
      <c r="A186" t="inlineStr">
        <is>
          <t>A 68090-2021</t>
        </is>
      </c>
      <c r="B186" t="inlineStr">
        <is>
          <t>avverkningsanmälan</t>
        </is>
      </c>
      <c r="C186" t="inlineStr">
        <is>
          <t>Föryngringsavverkning</t>
        </is>
      </c>
      <c r="D186" s="1" t="n">
        <v>44526</v>
      </c>
      <c r="E186" s="1" t="n">
        <v>46217</v>
      </c>
      <c r="F186" t="inlineStr">
        <is>
          <t>KALMAR LÄN</t>
        </is>
      </c>
      <c r="G186" t="inlineStr">
        <is>
          <t>HULTSFRED</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46217</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46217</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46217</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46217</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46217</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46217</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46217</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40428-2021</t>
        </is>
      </c>
      <c r="B194" t="inlineStr">
        <is>
          <t>avverkningsanmälan</t>
        </is>
      </c>
      <c r="C194" t="inlineStr">
        <is>
          <t>Föryngringsavverkning</t>
        </is>
      </c>
      <c r="D194" s="1" t="n">
        <v>44419</v>
      </c>
      <c r="E194" s="1" t="n">
        <v>46217</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13473-2022</t>
        </is>
      </c>
      <c r="B195" t="inlineStr">
        <is>
          <t>avverkningsanmälan</t>
        </is>
      </c>
      <c r="C195" t="inlineStr">
        <is>
          <t>Föryngringsavverkning</t>
        </is>
      </c>
      <c r="D195" s="1" t="n">
        <v>44645</v>
      </c>
      <c r="E195" s="1" t="n">
        <v>46217</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46457-2023</t>
        </is>
      </c>
      <c r="B196" t="inlineStr">
        <is>
          <t>avverkningsanmälan</t>
        </is>
      </c>
      <c r="C196" t="inlineStr">
        <is>
          <t>Föryngringsavverkning</t>
        </is>
      </c>
      <c r="D196" s="1" t="n">
        <v>45197</v>
      </c>
      <c r="E196" s="1" t="n">
        <v>46217</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5788-2024</t>
        </is>
      </c>
      <c r="B197" t="inlineStr">
        <is>
          <t>avverkningsanmälan</t>
        </is>
      </c>
      <c r="C197" t="inlineStr">
        <is>
          <t>Föryngringsavverkning</t>
        </is>
      </c>
      <c r="D197" s="1" t="n">
        <v>45335</v>
      </c>
      <c r="E197" s="1" t="n">
        <v>46217</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5794-2024</t>
        </is>
      </c>
      <c r="B198" t="inlineStr">
        <is>
          <t>avverkningsanmälan</t>
        </is>
      </c>
      <c r="C198" t="inlineStr">
        <is>
          <t>Föryngringsavverkning</t>
        </is>
      </c>
      <c r="D198" s="1" t="n">
        <v>45335</v>
      </c>
      <c r="E198" s="1" t="n">
        <v>46217</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28878-2022</t>
        </is>
      </c>
      <c r="B199" t="inlineStr">
        <is>
          <t>avverkningsanmälan</t>
        </is>
      </c>
      <c r="C199" t="inlineStr">
        <is>
          <t>Föryngringsavverkning</t>
        </is>
      </c>
      <c r="D199" s="1" t="n">
        <v>44749</v>
      </c>
      <c r="E199" s="1" t="n">
        <v>46217</v>
      </c>
      <c r="F199" t="inlineStr">
        <is>
          <t>KALMAR LÄN</t>
        </is>
      </c>
      <c r="G199" t="inlineStr">
        <is>
          <t>HULTSFRED</t>
        </is>
      </c>
      <c r="I199" t="n">
        <v>2.7</v>
      </c>
      <c r="J199" t="n">
        <v>0</v>
      </c>
      <c r="K199" t="n">
        <v>0</v>
      </c>
      <c r="L199" t="n">
        <v>0</v>
      </c>
      <c r="M199" t="n">
        <v>0</v>
      </c>
      <c r="N199" t="n">
        <v>0</v>
      </c>
      <c r="O199" t="n">
        <v>0</v>
      </c>
      <c r="P199" t="n">
        <v>0</v>
      </c>
      <c r="Q199" t="n">
        <v>0</v>
      </c>
      <c r="R199" t="n">
        <v>0</v>
      </c>
      <c r="S199" t="n">
        <v>0</v>
      </c>
      <c r="T199" t="n">
        <v>0</v>
      </c>
      <c r="U199" s="2" t="inlineStr"/>
    </row>
    <row r="200" ht="15" customHeight="1">
      <c r="A200" t="inlineStr">
        <is>
          <t>A 57808-2023</t>
        </is>
      </c>
      <c r="B200" t="inlineStr">
        <is>
          <t>avverkningsanmälan</t>
        </is>
      </c>
      <c r="C200" t="inlineStr">
        <is>
          <t>Föryngringsavverkning</t>
        </is>
      </c>
      <c r="D200" s="1" t="n">
        <v>45247</v>
      </c>
      <c r="E200" s="1" t="n">
        <v>46217</v>
      </c>
      <c r="F200" t="inlineStr">
        <is>
          <t>KALMAR LÄN</t>
        </is>
      </c>
      <c r="G200" t="inlineStr">
        <is>
          <t>HULTSFRED</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6513-2024</t>
        </is>
      </c>
      <c r="B201" t="inlineStr">
        <is>
          <t>avverkningsanmälan</t>
        </is>
      </c>
      <c r="C201" t="inlineStr">
        <is>
          <t>Föryngringsavverkning</t>
        </is>
      </c>
      <c r="D201" s="1" t="n">
        <v>45340</v>
      </c>
      <c r="E201" s="1" t="n">
        <v>46217</v>
      </c>
      <c r="F201" t="inlineStr">
        <is>
          <t>KALMAR LÄN</t>
        </is>
      </c>
      <c r="G201" t="inlineStr">
        <is>
          <t>HULTSFRED</t>
        </is>
      </c>
      <c r="I201" t="n">
        <v>7.4</v>
      </c>
      <c r="J201" t="n">
        <v>0</v>
      </c>
      <c r="K201" t="n">
        <v>0</v>
      </c>
      <c r="L201" t="n">
        <v>0</v>
      </c>
      <c r="M201" t="n">
        <v>0</v>
      </c>
      <c r="N201" t="n">
        <v>0</v>
      </c>
      <c r="O201" t="n">
        <v>0</v>
      </c>
      <c r="P201" t="n">
        <v>0</v>
      </c>
      <c r="Q201" t="n">
        <v>0</v>
      </c>
      <c r="R201" t="n">
        <v>0</v>
      </c>
      <c r="S201" t="n">
        <v>0</v>
      </c>
      <c r="T201" t="n">
        <v>0</v>
      </c>
      <c r="U201" s="2" t="inlineStr"/>
    </row>
    <row r="202" ht="15" customHeight="1">
      <c r="A202" t="inlineStr">
        <is>
          <t>A 6514-2024</t>
        </is>
      </c>
      <c r="B202" t="inlineStr">
        <is>
          <t>avverkningsanmälan</t>
        </is>
      </c>
      <c r="C202" t="inlineStr">
        <is>
          <t>Föryngringsavverkning</t>
        </is>
      </c>
      <c r="D202" s="1" t="n">
        <v>45340</v>
      </c>
      <c r="E202" s="1" t="n">
        <v>46217</v>
      </c>
      <c r="F202" t="inlineStr">
        <is>
          <t>KALMAR LÄN</t>
        </is>
      </c>
      <c r="G202" t="inlineStr">
        <is>
          <t>HULTSFRED</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41219-2023</t>
        </is>
      </c>
      <c r="B203" t="inlineStr">
        <is>
          <t>avverkningsanmälan</t>
        </is>
      </c>
      <c r="C203" t="inlineStr">
        <is>
          <t>Föryngringsavverkning</t>
        </is>
      </c>
      <c r="D203" s="1" t="n">
        <v>45174</v>
      </c>
      <c r="E203" s="1" t="n">
        <v>46217</v>
      </c>
      <c r="F203" t="inlineStr">
        <is>
          <t>KALMAR LÄN</t>
        </is>
      </c>
      <c r="G203" t="inlineStr">
        <is>
          <t>HULTSFRED</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43284-2022</t>
        </is>
      </c>
      <c r="B204" t="inlineStr">
        <is>
          <t>avverkningsanmälan</t>
        </is>
      </c>
      <c r="C204" t="inlineStr">
        <is>
          <t>Föryngringsavverkning</t>
        </is>
      </c>
      <c r="D204" s="1" t="n">
        <v>44834</v>
      </c>
      <c r="E204" s="1" t="n">
        <v>46217</v>
      </c>
      <c r="F204" t="inlineStr">
        <is>
          <t>KALMAR LÄN</t>
        </is>
      </c>
      <c r="G204" t="inlineStr">
        <is>
          <t>HULTSFRED</t>
        </is>
      </c>
      <c r="I204" t="n">
        <v>10.5</v>
      </c>
      <c r="J204" t="n">
        <v>0</v>
      </c>
      <c r="K204" t="n">
        <v>0</v>
      </c>
      <c r="L204" t="n">
        <v>0</v>
      </c>
      <c r="M204" t="n">
        <v>0</v>
      </c>
      <c r="N204" t="n">
        <v>0</v>
      </c>
      <c r="O204" t="n">
        <v>0</v>
      </c>
      <c r="P204" t="n">
        <v>0</v>
      </c>
      <c r="Q204" t="n">
        <v>0</v>
      </c>
      <c r="R204" t="n">
        <v>0</v>
      </c>
      <c r="S204" t="n">
        <v>0</v>
      </c>
      <c r="T204" t="n">
        <v>0</v>
      </c>
      <c r="U204" s="2" t="inlineStr"/>
    </row>
    <row r="205" ht="15" customHeight="1">
      <c r="A205" t="inlineStr">
        <is>
          <t>A 32345-2022</t>
        </is>
      </c>
      <c r="B205" t="inlineStr">
        <is>
          <t>avverkningsanmälan</t>
        </is>
      </c>
      <c r="C205" t="inlineStr">
        <is>
          <t>Föryngringsavverkning</t>
        </is>
      </c>
      <c r="D205" s="1" t="n">
        <v>44781</v>
      </c>
      <c r="E205" s="1" t="n">
        <v>46217</v>
      </c>
      <c r="F205" t="inlineStr">
        <is>
          <t>KALMAR LÄN</t>
        </is>
      </c>
      <c r="G205" t="inlineStr">
        <is>
          <t>HULTSFRED</t>
        </is>
      </c>
      <c r="I205" t="n">
        <v>11.7</v>
      </c>
      <c r="J205" t="n">
        <v>0</v>
      </c>
      <c r="K205" t="n">
        <v>0</v>
      </c>
      <c r="L205" t="n">
        <v>0</v>
      </c>
      <c r="M205" t="n">
        <v>0</v>
      </c>
      <c r="N205" t="n">
        <v>0</v>
      </c>
      <c r="O205" t="n">
        <v>0</v>
      </c>
      <c r="P205" t="n">
        <v>0</v>
      </c>
      <c r="Q205" t="n">
        <v>0</v>
      </c>
      <c r="R205" t="n">
        <v>0</v>
      </c>
      <c r="S205" t="n">
        <v>0</v>
      </c>
      <c r="T205" t="n">
        <v>0</v>
      </c>
      <c r="U205" s="2" t="inlineStr"/>
    </row>
    <row r="206" ht="15" customHeight="1">
      <c r="A206" t="inlineStr">
        <is>
          <t>A 9594-2025</t>
        </is>
      </c>
      <c r="B206" t="inlineStr">
        <is>
          <t>avverkningsanmälan</t>
        </is>
      </c>
      <c r="C206" t="inlineStr">
        <is>
          <t>Föryngringsavverkning</t>
        </is>
      </c>
      <c r="D206" s="1" t="n">
        <v>45715</v>
      </c>
      <c r="E206" s="1" t="n">
        <v>46217</v>
      </c>
      <c r="F206" t="inlineStr">
        <is>
          <t>KALMAR LÄN</t>
        </is>
      </c>
      <c r="G206" t="inlineStr">
        <is>
          <t>HULTSFRED</t>
        </is>
      </c>
      <c r="H206" t="inlineStr">
        <is>
          <t>Sveaskog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9325-2025</t>
        </is>
      </c>
      <c r="B207" t="inlineStr">
        <is>
          <t>avverkningsanmälan</t>
        </is>
      </c>
      <c r="C207" t="inlineStr">
        <is>
          <t>Föryngringsavverkning</t>
        </is>
      </c>
      <c r="D207" s="1" t="n">
        <v>45714</v>
      </c>
      <c r="E207" s="1" t="n">
        <v>46217</v>
      </c>
      <c r="F207" t="inlineStr">
        <is>
          <t>KALMAR LÄN</t>
        </is>
      </c>
      <c r="G207" t="inlineStr">
        <is>
          <t>HULTSFRED</t>
        </is>
      </c>
      <c r="H207" t="inlineStr">
        <is>
          <t>Sveaskog</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9369-2024</t>
        </is>
      </c>
      <c r="B208" t="inlineStr">
        <is>
          <t>avverkningsanmälan</t>
        </is>
      </c>
      <c r="C208" t="inlineStr">
        <is>
          <t>Föryngringsavverkning</t>
        </is>
      </c>
      <c r="D208" s="1" t="n">
        <v>45359</v>
      </c>
      <c r="E208" s="1" t="n">
        <v>46217</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24148-2023</t>
        </is>
      </c>
      <c r="B209" t="inlineStr">
        <is>
          <t>avverkningsanmälan</t>
        </is>
      </c>
      <c r="C209" t="inlineStr">
        <is>
          <t>Föryngringsavverkning</t>
        </is>
      </c>
      <c r="D209" s="1" t="n">
        <v>45079</v>
      </c>
      <c r="E209" s="1" t="n">
        <v>46217</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58383-2022</t>
        </is>
      </c>
      <c r="B210" t="inlineStr">
        <is>
          <t>avverkningsanmälan</t>
        </is>
      </c>
      <c r="C210" t="inlineStr">
        <is>
          <t>Föryngringsavverkning</t>
        </is>
      </c>
      <c r="D210" s="1" t="n">
        <v>44901</v>
      </c>
      <c r="E210" s="1" t="n">
        <v>46217</v>
      </c>
      <c r="F210" t="inlineStr">
        <is>
          <t>KALMAR LÄN</t>
        </is>
      </c>
      <c r="G210" t="inlineStr">
        <is>
          <t>HULTSFRED</t>
        </is>
      </c>
      <c r="H210" t="inlineStr">
        <is>
          <t>Sveaskog</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9590-2024</t>
        </is>
      </c>
      <c r="B211" t="inlineStr">
        <is>
          <t>avverkningsanmälan</t>
        </is>
      </c>
      <c r="C211" t="inlineStr">
        <is>
          <t>Föryngringsavverkning</t>
        </is>
      </c>
      <c r="D211" s="1" t="n">
        <v>45360</v>
      </c>
      <c r="E211" s="1" t="n">
        <v>46217</v>
      </c>
      <c r="F211" t="inlineStr">
        <is>
          <t>KALMAR LÄN</t>
        </is>
      </c>
      <c r="G211" t="inlineStr">
        <is>
          <t>HULTSFRED</t>
        </is>
      </c>
      <c r="H211" t="inlineStr">
        <is>
          <t>Sveaskog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38971-2022</t>
        </is>
      </c>
      <c r="B212" t="inlineStr">
        <is>
          <t>avverkningsanmälan</t>
        </is>
      </c>
      <c r="C212" t="inlineStr">
        <is>
          <t>Föryngringsavverkning</t>
        </is>
      </c>
      <c r="D212" s="1" t="n">
        <v>44816</v>
      </c>
      <c r="E212" s="1" t="n">
        <v>46217</v>
      </c>
      <c r="F212" t="inlineStr">
        <is>
          <t>KALMAR LÄN</t>
        </is>
      </c>
      <c r="G212" t="inlineStr">
        <is>
          <t>HULTSFRED</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13781-2024</t>
        </is>
      </c>
      <c r="B213" t="inlineStr">
        <is>
          <t>avverkningsanmälan</t>
        </is>
      </c>
      <c r="C213" t="inlineStr">
        <is>
          <t>Föryngringsavverkning</t>
        </is>
      </c>
      <c r="D213" s="1" t="n">
        <v>45391</v>
      </c>
      <c r="E213" s="1" t="n">
        <v>46217</v>
      </c>
      <c r="F213" t="inlineStr">
        <is>
          <t>KALMAR LÄN</t>
        </is>
      </c>
      <c r="G213" t="inlineStr">
        <is>
          <t>HULTSFRED</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53726-2022</t>
        </is>
      </c>
      <c r="B214" t="inlineStr">
        <is>
          <t>avverkningsanmälan</t>
        </is>
      </c>
      <c r="C214" t="inlineStr">
        <is>
          <t>Föryngringsavverkning</t>
        </is>
      </c>
      <c r="D214" s="1" t="n">
        <v>44880</v>
      </c>
      <c r="E214" s="1" t="n">
        <v>46217</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33441-2023</t>
        </is>
      </c>
      <c r="B215" t="inlineStr">
        <is>
          <t>avverkningsanmälan</t>
        </is>
      </c>
      <c r="C215" t="inlineStr">
        <is>
          <t>Föryngringsavverkning</t>
        </is>
      </c>
      <c r="D215" s="1" t="n">
        <v>45129</v>
      </c>
      <c r="E215" s="1" t="n">
        <v>46217</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144-2023</t>
        </is>
      </c>
      <c r="B216" t="inlineStr">
        <is>
          <t>avverkningsanmälan</t>
        </is>
      </c>
      <c r="C216" t="inlineStr">
        <is>
          <t>Avverkning för att bevara och utveckla /försöksver</t>
        </is>
      </c>
      <c r="D216" s="1" t="n">
        <v>44928</v>
      </c>
      <c r="E216" s="1" t="n">
        <v>46217</v>
      </c>
      <c r="F216" t="inlineStr">
        <is>
          <t>KALMAR LÄN</t>
        </is>
      </c>
      <c r="G216" t="inlineStr">
        <is>
          <t>HULTSFRED</t>
        </is>
      </c>
      <c r="H216" t="inlineStr">
        <is>
          <t>Sveaskog</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28216-2024</t>
        </is>
      </c>
      <c r="B217" t="inlineStr">
        <is>
          <t>avverkningsanmälan</t>
        </is>
      </c>
      <c r="C217" t="inlineStr">
        <is>
          <t>Föryngringsavverkning</t>
        </is>
      </c>
      <c r="D217" s="1" t="n">
        <v>45477</v>
      </c>
      <c r="E217" s="1" t="n">
        <v>46217</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s="2" t="inlineStr"/>
    </row>
    <row r="218" ht="15" customHeight="1">
      <c r="A218" t="inlineStr">
        <is>
          <t>A 28224-2024</t>
        </is>
      </c>
      <c r="B218" t="inlineStr">
        <is>
          <t>avverkningsanmälan</t>
        </is>
      </c>
      <c r="C218" t="inlineStr">
        <is>
          <t>Föryngringsavverkning</t>
        </is>
      </c>
      <c r="D218" s="1" t="n">
        <v>45477</v>
      </c>
      <c r="E218" s="1" t="n">
        <v>46217</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44977-2021</t>
        </is>
      </c>
      <c r="B219" t="inlineStr">
        <is>
          <t>avverkningsanmälan</t>
        </is>
      </c>
      <c r="C219" t="inlineStr">
        <is>
          <t>Avverkning för annat ändamål</t>
        </is>
      </c>
      <c r="D219" s="1" t="n">
        <v>44438</v>
      </c>
      <c r="E219" s="1" t="n">
        <v>46217</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49703-2022</t>
        </is>
      </c>
      <c r="B220" t="inlineStr">
        <is>
          <t>avverkningsanmälan</t>
        </is>
      </c>
      <c r="C220" t="inlineStr">
        <is>
          <t>Föryngringsavverkning</t>
        </is>
      </c>
      <c r="D220" s="1" t="n">
        <v>44862</v>
      </c>
      <c r="E220" s="1" t="n">
        <v>46217</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63074-2023</t>
        </is>
      </c>
      <c r="B221" t="inlineStr">
        <is>
          <t>avverkningsanmälan</t>
        </is>
      </c>
      <c r="C221" t="inlineStr">
        <is>
          <t>Föryngringsavverkning</t>
        </is>
      </c>
      <c r="D221" s="1" t="n">
        <v>45273</v>
      </c>
      <c r="E221" s="1" t="n">
        <v>46217</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62635-2023</t>
        </is>
      </c>
      <c r="B222" t="inlineStr">
        <is>
          <t>avverkningsanmälan</t>
        </is>
      </c>
      <c r="C222" t="inlineStr">
        <is>
          <t>Föryngringsavverkning</t>
        </is>
      </c>
      <c r="D222" s="1" t="n">
        <v>45271</v>
      </c>
      <c r="E222" s="1" t="n">
        <v>46217</v>
      </c>
      <c r="F222" t="inlineStr">
        <is>
          <t>KALMAR LÄN</t>
        </is>
      </c>
      <c r="G222" t="inlineStr">
        <is>
          <t>HULTSFRED</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19479-2023</t>
        </is>
      </c>
      <c r="B223" t="inlineStr">
        <is>
          <t>avverkningsanmälan</t>
        </is>
      </c>
      <c r="C223" t="inlineStr">
        <is>
          <t>Föryngringsavverkning</t>
        </is>
      </c>
      <c r="D223" s="1" t="n">
        <v>45050</v>
      </c>
      <c r="E223" s="1" t="n">
        <v>46217</v>
      </c>
      <c r="F223" t="inlineStr">
        <is>
          <t>KALMAR LÄN</t>
        </is>
      </c>
      <c r="G223" t="inlineStr">
        <is>
          <t>HULTSFRED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34038-2023</t>
        </is>
      </c>
      <c r="B224" t="inlineStr">
        <is>
          <t>avverkningsanmälan</t>
        </is>
      </c>
      <c r="C224" t="inlineStr">
        <is>
          <t>Föryngringsavverkning</t>
        </is>
      </c>
      <c r="D224" s="1" t="n">
        <v>45135</v>
      </c>
      <c r="E224" s="1" t="n">
        <v>46217</v>
      </c>
      <c r="F224" t="inlineStr">
        <is>
          <t>KALMAR LÄN</t>
        </is>
      </c>
      <c r="G224" t="inlineStr">
        <is>
          <t>HULTSFRED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68088-2021</t>
        </is>
      </c>
      <c r="B225" t="inlineStr">
        <is>
          <t>avverkningsanmälan</t>
        </is>
      </c>
      <c r="C225" t="inlineStr">
        <is>
          <t>Föryngringsavverkning</t>
        </is>
      </c>
      <c r="D225" s="1" t="n">
        <v>44526</v>
      </c>
      <c r="E225" s="1" t="n">
        <v>46217</v>
      </c>
      <c r="F225" t="inlineStr">
        <is>
          <t>KALMAR LÄN</t>
        </is>
      </c>
      <c r="G225" t="inlineStr">
        <is>
          <t>HULTSFRED</t>
        </is>
      </c>
      <c r="I225" t="n">
        <v>2.1</v>
      </c>
      <c r="J225" t="n">
        <v>0</v>
      </c>
      <c r="K225" t="n">
        <v>0</v>
      </c>
      <c r="L225" t="n">
        <v>0</v>
      </c>
      <c r="M225" t="n">
        <v>0</v>
      </c>
      <c r="N225" t="n">
        <v>0</v>
      </c>
      <c r="O225" t="n">
        <v>0</v>
      </c>
      <c r="P225" t="n">
        <v>0</v>
      </c>
      <c r="Q225" t="n">
        <v>0</v>
      </c>
      <c r="R225" t="n">
        <v>0</v>
      </c>
      <c r="S225" t="n">
        <v>0</v>
      </c>
      <c r="T225" t="n">
        <v>0</v>
      </c>
      <c r="U225" s="2" t="inlineStr"/>
    </row>
    <row r="226" ht="15" customHeight="1">
      <c r="A226" t="inlineStr">
        <is>
          <t>A 28214-2024</t>
        </is>
      </c>
      <c r="B226" t="inlineStr">
        <is>
          <t>avverkningsanmälan</t>
        </is>
      </c>
      <c r="C226" t="inlineStr">
        <is>
          <t>Föryngringsavverkning</t>
        </is>
      </c>
      <c r="D226" s="1" t="n">
        <v>45477</v>
      </c>
      <c r="E226" s="1" t="n">
        <v>46217</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54209-2021</t>
        </is>
      </c>
      <c r="B227" t="inlineStr">
        <is>
          <t>avverkningsanmälan</t>
        </is>
      </c>
      <c r="C227" t="inlineStr">
        <is>
          <t>Föryngringsavverkning</t>
        </is>
      </c>
      <c r="D227" s="1" t="n">
        <v>44470</v>
      </c>
      <c r="E227" s="1" t="n">
        <v>46217</v>
      </c>
      <c r="F227" t="inlineStr">
        <is>
          <t>KALMAR LÄN</t>
        </is>
      </c>
      <c r="G227" t="inlineStr">
        <is>
          <t>HULTSFRED</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54944-2021</t>
        </is>
      </c>
      <c r="B228" t="inlineStr">
        <is>
          <t>avverkningsanmälan</t>
        </is>
      </c>
      <c r="C228" t="inlineStr">
        <is>
          <t>Föryngringsavverkning</t>
        </is>
      </c>
      <c r="D228" s="1" t="n">
        <v>44474</v>
      </c>
      <c r="E228" s="1" t="n">
        <v>46217</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68818-2021</t>
        </is>
      </c>
      <c r="B229" t="inlineStr">
        <is>
          <t>avverkningsanmälan</t>
        </is>
      </c>
      <c r="C229" t="inlineStr">
        <is>
          <t>Föryngringsavverkning</t>
        </is>
      </c>
      <c r="D229" s="1" t="n">
        <v>44530</v>
      </c>
      <c r="E229" s="1" t="n">
        <v>46217</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40006-2023</t>
        </is>
      </c>
      <c r="B230" t="inlineStr">
        <is>
          <t>avverkningsanmälan</t>
        </is>
      </c>
      <c r="C230" t="inlineStr">
        <is>
          <t>Avverkning för annat ändamål</t>
        </is>
      </c>
      <c r="D230" s="1" t="n">
        <v>45168</v>
      </c>
      <c r="E230" s="1" t="n">
        <v>46217</v>
      </c>
      <c r="F230" t="inlineStr">
        <is>
          <t>KALMAR LÄN</t>
        </is>
      </c>
      <c r="G230" t="inlineStr">
        <is>
          <t>HULTSFRED</t>
        </is>
      </c>
      <c r="H230" t="inlineStr">
        <is>
          <t>Sveaskog</t>
        </is>
      </c>
      <c r="I230" t="n">
        <v>9.199999999999999</v>
      </c>
      <c r="J230" t="n">
        <v>0</v>
      </c>
      <c r="K230" t="n">
        <v>0</v>
      </c>
      <c r="L230" t="n">
        <v>0</v>
      </c>
      <c r="M230" t="n">
        <v>0</v>
      </c>
      <c r="N230" t="n">
        <v>0</v>
      </c>
      <c r="O230" t="n">
        <v>0</v>
      </c>
      <c r="P230" t="n">
        <v>0</v>
      </c>
      <c r="Q230" t="n">
        <v>0</v>
      </c>
      <c r="R230" t="n">
        <v>0</v>
      </c>
      <c r="S230" t="n">
        <v>0</v>
      </c>
      <c r="T230" t="n">
        <v>0</v>
      </c>
      <c r="U230" s="2" t="inlineStr"/>
    </row>
    <row r="231" ht="15" customHeight="1">
      <c r="A231" t="inlineStr">
        <is>
          <t>A 61549-2022</t>
        </is>
      </c>
      <c r="B231" t="inlineStr">
        <is>
          <t>avverkningsanmälan</t>
        </is>
      </c>
      <c r="C231" t="inlineStr">
        <is>
          <t>Föryngringsavverkning</t>
        </is>
      </c>
      <c r="D231" s="1" t="n">
        <v>44916</v>
      </c>
      <c r="E231" s="1" t="n">
        <v>46217</v>
      </c>
      <c r="F231" t="inlineStr">
        <is>
          <t>KALMAR LÄN</t>
        </is>
      </c>
      <c r="G231" t="inlineStr">
        <is>
          <t>HULTSFRED</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52897-2024</t>
        </is>
      </c>
      <c r="B232" t="inlineStr">
        <is>
          <t>avverkningsanmälan</t>
        </is>
      </c>
      <c r="C232" t="inlineStr">
        <is>
          <t>Föryngringsavverkning</t>
        </is>
      </c>
      <c r="D232" s="1" t="n">
        <v>45610</v>
      </c>
      <c r="E232" s="1" t="n">
        <v>46217</v>
      </c>
      <c r="F232" t="inlineStr">
        <is>
          <t>KALMAR LÄN</t>
        </is>
      </c>
      <c r="G232" t="inlineStr">
        <is>
          <t>HULTSFRED</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20947-2024</t>
        </is>
      </c>
      <c r="B233" t="inlineStr">
        <is>
          <t>avverkningsanmälan</t>
        </is>
      </c>
      <c r="C233" t="inlineStr">
        <is>
          <t>Föryngringsavverkning</t>
        </is>
      </c>
      <c r="D233" s="1" t="n">
        <v>45439</v>
      </c>
      <c r="E233" s="1" t="n">
        <v>46217</v>
      </c>
      <c r="F233" t="inlineStr">
        <is>
          <t>KALMAR LÄN</t>
        </is>
      </c>
      <c r="G233" t="inlineStr">
        <is>
          <t>HULTSFRED</t>
        </is>
      </c>
      <c r="H233" t="inlineStr">
        <is>
          <t>Övriga Aktiebolag</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4835-2022</t>
        </is>
      </c>
      <c r="B234" t="inlineStr">
        <is>
          <t>avverkningsanmälan</t>
        </is>
      </c>
      <c r="C234" t="inlineStr">
        <is>
          <t>Föryngringsavverkning</t>
        </is>
      </c>
      <c r="D234" s="1" t="n">
        <v>44592</v>
      </c>
      <c r="E234" s="1" t="n">
        <v>46217</v>
      </c>
      <c r="F234" t="inlineStr">
        <is>
          <t>KALMAR LÄN</t>
        </is>
      </c>
      <c r="G234" t="inlineStr">
        <is>
          <t>HULTSFRED</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17330-2024</t>
        </is>
      </c>
      <c r="B235" t="inlineStr">
        <is>
          <t>avverkningsanmälan</t>
        </is>
      </c>
      <c r="C235" t="inlineStr">
        <is>
          <t>Föryngringsavverkning</t>
        </is>
      </c>
      <c r="D235" s="1" t="n">
        <v>45414</v>
      </c>
      <c r="E235" s="1" t="n">
        <v>46217</v>
      </c>
      <c r="F235" t="inlineStr">
        <is>
          <t>KALMAR LÄN</t>
        </is>
      </c>
      <c r="G235" t="inlineStr">
        <is>
          <t>HULTSFRED</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20036-2023</t>
        </is>
      </c>
      <c r="B236" t="inlineStr">
        <is>
          <t>avverkningsanmälan</t>
        </is>
      </c>
      <c r="C236" t="inlineStr">
        <is>
          <t>Föryngringsavverkning</t>
        </is>
      </c>
      <c r="D236" s="1" t="n">
        <v>45054</v>
      </c>
      <c r="E236" s="1" t="n">
        <v>46217</v>
      </c>
      <c r="F236" t="inlineStr">
        <is>
          <t>KALMAR LÄN</t>
        </is>
      </c>
      <c r="G236" t="inlineStr">
        <is>
          <t>HULTSFRED</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58476-2024</t>
        </is>
      </c>
      <c r="B237" t="inlineStr">
        <is>
          <t>avverkningsanmälan</t>
        </is>
      </c>
      <c r="C237" t="inlineStr">
        <is>
          <t>Föryngringsavverkning</t>
        </is>
      </c>
      <c r="D237" s="1" t="n">
        <v>45635</v>
      </c>
      <c r="E237" s="1" t="n">
        <v>46217</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59464-2024</t>
        </is>
      </c>
      <c r="B238" t="inlineStr">
        <is>
          <t>avverkningsanmälan</t>
        </is>
      </c>
      <c r="C238" t="inlineStr">
        <is>
          <t>Föryngringsavverkning</t>
        </is>
      </c>
      <c r="D238" s="1" t="n">
        <v>45638</v>
      </c>
      <c r="E238" s="1" t="n">
        <v>46217</v>
      </c>
      <c r="F238" t="inlineStr">
        <is>
          <t>KALMAR LÄN</t>
        </is>
      </c>
      <c r="G238" t="inlineStr">
        <is>
          <t>HULTSFRED</t>
        </is>
      </c>
      <c r="H238" t="inlineStr">
        <is>
          <t>Sveaskog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36931-2024</t>
        </is>
      </c>
      <c r="B239" t="inlineStr">
        <is>
          <t>avverkningsanmälan</t>
        </is>
      </c>
      <c r="C239" t="inlineStr">
        <is>
          <t>Föryngringsavverkning</t>
        </is>
      </c>
      <c r="D239" s="1" t="n">
        <v>45538</v>
      </c>
      <c r="E239" s="1" t="n">
        <v>46217</v>
      </c>
      <c r="F239" t="inlineStr">
        <is>
          <t>KALMAR LÄN</t>
        </is>
      </c>
      <c r="G239" t="inlineStr">
        <is>
          <t>HULTSFRED</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25020-2023</t>
        </is>
      </c>
      <c r="B240" t="inlineStr">
        <is>
          <t>avverkningsanmälan</t>
        </is>
      </c>
      <c r="C240" t="inlineStr">
        <is>
          <t>Föryngringsavverkning</t>
        </is>
      </c>
      <c r="D240" s="1" t="n">
        <v>45085</v>
      </c>
      <c r="E240" s="1" t="n">
        <v>46217</v>
      </c>
      <c r="F240" t="inlineStr">
        <is>
          <t>KALMAR LÄN</t>
        </is>
      </c>
      <c r="G240" t="inlineStr">
        <is>
          <t>HULTSFRED</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37153-2023</t>
        </is>
      </c>
      <c r="B241" t="inlineStr">
        <is>
          <t>avverkningsanmälan</t>
        </is>
      </c>
      <c r="C241" t="inlineStr">
        <is>
          <t>Föryngringsavverkning</t>
        </is>
      </c>
      <c r="D241" s="1" t="n">
        <v>45155</v>
      </c>
      <c r="E241" s="1" t="n">
        <v>46217</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262-2022</t>
        </is>
      </c>
      <c r="B242" t="inlineStr">
        <is>
          <t>avverkningsanmälan</t>
        </is>
      </c>
      <c r="C242" t="inlineStr">
        <is>
          <t>Föryngringsavverkning</t>
        </is>
      </c>
      <c r="D242" s="1" t="n">
        <v>44565</v>
      </c>
      <c r="E242" s="1" t="n">
        <v>46217</v>
      </c>
      <c r="F242" t="inlineStr">
        <is>
          <t>KALMAR LÄN</t>
        </is>
      </c>
      <c r="G242" t="inlineStr">
        <is>
          <t>HULTSFRED</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33235-2023</t>
        </is>
      </c>
      <c r="B243" t="inlineStr">
        <is>
          <t>avverkningsanmälan</t>
        </is>
      </c>
      <c r="C243" t="inlineStr">
        <is>
          <t>Föryngringsavverkning</t>
        </is>
      </c>
      <c r="D243" s="1" t="n">
        <v>45127</v>
      </c>
      <c r="E243" s="1" t="n">
        <v>46217</v>
      </c>
      <c r="F243" t="inlineStr">
        <is>
          <t>KALMAR LÄN</t>
        </is>
      </c>
      <c r="G243" t="inlineStr">
        <is>
          <t>HULTSFRED</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42462-2023</t>
        </is>
      </c>
      <c r="B244" t="inlineStr">
        <is>
          <t>avverkningsanmälan</t>
        </is>
      </c>
      <c r="C244" t="inlineStr">
        <is>
          <t>Föryngringsavverkning</t>
        </is>
      </c>
      <c r="D244" s="1" t="n">
        <v>45175</v>
      </c>
      <c r="E244" s="1" t="n">
        <v>46217</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3337-2023</t>
        </is>
      </c>
      <c r="B245" t="inlineStr">
        <is>
          <t>avverkningsanmälan</t>
        </is>
      </c>
      <c r="C245" t="inlineStr">
        <is>
          <t>Föryngringsavverkning</t>
        </is>
      </c>
      <c r="D245" s="1" t="n">
        <v>44949</v>
      </c>
      <c r="E245" s="1" t="n">
        <v>46217</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38705-2024</t>
        </is>
      </c>
      <c r="B246" t="inlineStr">
        <is>
          <t>avverkningsanmälan</t>
        </is>
      </c>
      <c r="C246" t="inlineStr">
        <is>
          <t>Föryngringsavverkning</t>
        </is>
      </c>
      <c r="D246" s="1" t="n">
        <v>45547</v>
      </c>
      <c r="E246" s="1" t="n">
        <v>46217</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12328-2023</t>
        </is>
      </c>
      <c r="B247" t="inlineStr">
        <is>
          <t>avverkningsanmälan</t>
        </is>
      </c>
      <c r="C247" t="inlineStr">
        <is>
          <t>Föryngringsavverkning</t>
        </is>
      </c>
      <c r="D247" s="1" t="n">
        <v>44999</v>
      </c>
      <c r="E247" s="1" t="n">
        <v>46217</v>
      </c>
      <c r="F247" t="inlineStr">
        <is>
          <t>KALMAR LÄN</t>
        </is>
      </c>
      <c r="G247" t="inlineStr">
        <is>
          <t>HULTSFRED</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42770-2024</t>
        </is>
      </c>
      <c r="B248" t="inlineStr">
        <is>
          <t>avverkningsanmälan</t>
        </is>
      </c>
      <c r="C248" t="inlineStr">
        <is>
          <t>Avverkning för annat ändamål</t>
        </is>
      </c>
      <c r="D248" s="1" t="n">
        <v>45566</v>
      </c>
      <c r="E248" s="1" t="n">
        <v>46217</v>
      </c>
      <c r="F248" t="inlineStr">
        <is>
          <t>KALMAR LÄN</t>
        </is>
      </c>
      <c r="G248" t="inlineStr">
        <is>
          <t>HULTSFRED</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5000-2025</t>
        </is>
      </c>
      <c r="B249" t="inlineStr">
        <is>
          <t>avverkningsanmälan</t>
        </is>
      </c>
      <c r="C249" t="inlineStr">
        <is>
          <t>Föryngringsavverkning</t>
        </is>
      </c>
      <c r="D249" s="1" t="n">
        <v>45691</v>
      </c>
      <c r="E249" s="1" t="n">
        <v>46217</v>
      </c>
      <c r="F249" t="inlineStr">
        <is>
          <t>KALMAR LÄN</t>
        </is>
      </c>
      <c r="G249" t="inlineStr">
        <is>
          <t>HULTSFRED</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46465-2023</t>
        </is>
      </c>
      <c r="B250" t="inlineStr">
        <is>
          <t>avverkningsanmälan</t>
        </is>
      </c>
      <c r="C250" t="inlineStr">
        <is>
          <t>Föryngringsavverkning</t>
        </is>
      </c>
      <c r="D250" s="1" t="n">
        <v>45197</v>
      </c>
      <c r="E250" s="1" t="n">
        <v>46217</v>
      </c>
      <c r="F250" t="inlineStr">
        <is>
          <t>KALMAR LÄN</t>
        </is>
      </c>
      <c r="G250" t="inlineStr">
        <is>
          <t>HULTSFRED</t>
        </is>
      </c>
      <c r="I250" t="n">
        <v>3.9</v>
      </c>
      <c r="J250" t="n">
        <v>0</v>
      </c>
      <c r="K250" t="n">
        <v>0</v>
      </c>
      <c r="L250" t="n">
        <v>0</v>
      </c>
      <c r="M250" t="n">
        <v>0</v>
      </c>
      <c r="N250" t="n">
        <v>0</v>
      </c>
      <c r="O250" t="n">
        <v>0</v>
      </c>
      <c r="P250" t="n">
        <v>0</v>
      </c>
      <c r="Q250" t="n">
        <v>0</v>
      </c>
      <c r="R250" t="n">
        <v>0</v>
      </c>
      <c r="S250" t="n">
        <v>0</v>
      </c>
      <c r="T250" t="n">
        <v>0</v>
      </c>
      <c r="U250" s="2" t="inlineStr"/>
    </row>
    <row r="251" ht="15" customHeight="1">
      <c r="A251" t="inlineStr">
        <is>
          <t>A 16495-2023</t>
        </is>
      </c>
      <c r="B251" t="inlineStr">
        <is>
          <t>avverkningsanmälan</t>
        </is>
      </c>
      <c r="C251" t="inlineStr">
        <is>
          <t>Avverkning för annat ändamål</t>
        </is>
      </c>
      <c r="D251" s="1" t="n">
        <v>45026</v>
      </c>
      <c r="E251" s="1" t="n">
        <v>46217</v>
      </c>
      <c r="F251" t="inlineStr">
        <is>
          <t>KALMAR LÄN</t>
        </is>
      </c>
      <c r="G251" t="inlineStr">
        <is>
          <t>HULTSFRED</t>
        </is>
      </c>
      <c r="I251" t="n">
        <v>12.6</v>
      </c>
      <c r="J251" t="n">
        <v>0</v>
      </c>
      <c r="K251" t="n">
        <v>0</v>
      </c>
      <c r="L251" t="n">
        <v>0</v>
      </c>
      <c r="M251" t="n">
        <v>0</v>
      </c>
      <c r="N251" t="n">
        <v>0</v>
      </c>
      <c r="O251" t="n">
        <v>0</v>
      </c>
      <c r="P251" t="n">
        <v>0</v>
      </c>
      <c r="Q251" t="n">
        <v>0</v>
      </c>
      <c r="R251" t="n">
        <v>0</v>
      </c>
      <c r="S251" t="n">
        <v>0</v>
      </c>
      <c r="T251" t="n">
        <v>0</v>
      </c>
      <c r="U251" s="2" t="inlineStr"/>
    </row>
    <row r="252" ht="15" customHeight="1">
      <c r="A252" t="inlineStr">
        <is>
          <t>A 35305-2023</t>
        </is>
      </c>
      <c r="B252" t="inlineStr">
        <is>
          <t>avverkningsanmälan</t>
        </is>
      </c>
      <c r="C252" t="inlineStr">
        <is>
          <t>Föryngringsavverkning</t>
        </is>
      </c>
      <c r="D252" s="1" t="n">
        <v>45146</v>
      </c>
      <c r="E252" s="1" t="n">
        <v>46217</v>
      </c>
      <c r="F252" t="inlineStr">
        <is>
          <t>KALMAR LÄN</t>
        </is>
      </c>
      <c r="G252" t="inlineStr">
        <is>
          <t>HULTSFRED</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19679-2024</t>
        </is>
      </c>
      <c r="B253" t="inlineStr">
        <is>
          <t>avverkningsanmälan</t>
        </is>
      </c>
      <c r="C253" t="inlineStr">
        <is>
          <t>Föryngringsavverkning</t>
        </is>
      </c>
      <c r="D253" s="1" t="n">
        <v>45432</v>
      </c>
      <c r="E253" s="1" t="n">
        <v>46217</v>
      </c>
      <c r="F253" t="inlineStr">
        <is>
          <t>KALMAR LÄN</t>
        </is>
      </c>
      <c r="G253" t="inlineStr">
        <is>
          <t>HULTSFRED</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55495-2023</t>
        </is>
      </c>
      <c r="B254" t="inlineStr">
        <is>
          <t>avverkningsanmälan</t>
        </is>
      </c>
      <c r="C254" t="inlineStr">
        <is>
          <t>Föryngringsavverkning</t>
        </is>
      </c>
      <c r="D254" s="1" t="n">
        <v>45238</v>
      </c>
      <c r="E254" s="1" t="n">
        <v>46217</v>
      </c>
      <c r="F254" t="inlineStr">
        <is>
          <t>KALMAR LÄN</t>
        </is>
      </c>
      <c r="G254" t="inlineStr">
        <is>
          <t>HULTSFRED</t>
        </is>
      </c>
      <c r="H254" t="inlineStr">
        <is>
          <t>Kyrkan</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19047-2023</t>
        </is>
      </c>
      <c r="B255" t="inlineStr">
        <is>
          <t>avverkningsanmälan</t>
        </is>
      </c>
      <c r="C255" t="inlineStr">
        <is>
          <t>Föryngringsavverkning</t>
        </is>
      </c>
      <c r="D255" s="1" t="n">
        <v>45047</v>
      </c>
      <c r="E255" s="1" t="n">
        <v>46217</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42743-2024</t>
        </is>
      </c>
      <c r="B256" t="inlineStr">
        <is>
          <t>avverkningsanmälan</t>
        </is>
      </c>
      <c r="C256" t="inlineStr">
        <is>
          <t>Föryngringsavverkning</t>
        </is>
      </c>
      <c r="D256" s="1" t="n">
        <v>45566</v>
      </c>
      <c r="E256" s="1" t="n">
        <v>46217</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37628-2024</t>
        </is>
      </c>
      <c r="B257" t="inlineStr">
        <is>
          <t>avverkningsanmälan</t>
        </is>
      </c>
      <c r="C257" t="inlineStr">
        <is>
          <t>Föryngringsavverkning</t>
        </is>
      </c>
      <c r="D257" s="1" t="n">
        <v>45541</v>
      </c>
      <c r="E257" s="1" t="n">
        <v>46217</v>
      </c>
      <c r="F257" t="inlineStr">
        <is>
          <t>KALMAR LÄN</t>
        </is>
      </c>
      <c r="G257" t="inlineStr">
        <is>
          <t>HULTSFRED</t>
        </is>
      </c>
      <c r="H257" t="inlineStr">
        <is>
          <t>Övriga Aktiebolag</t>
        </is>
      </c>
      <c r="I257" t="n">
        <v>2.9</v>
      </c>
      <c r="J257" t="n">
        <v>0</v>
      </c>
      <c r="K257" t="n">
        <v>0</v>
      </c>
      <c r="L257" t="n">
        <v>0</v>
      </c>
      <c r="M257" t="n">
        <v>0</v>
      </c>
      <c r="N257" t="n">
        <v>0</v>
      </c>
      <c r="O257" t="n">
        <v>0</v>
      </c>
      <c r="P257" t="n">
        <v>0</v>
      </c>
      <c r="Q257" t="n">
        <v>0</v>
      </c>
      <c r="R257" t="n">
        <v>0</v>
      </c>
      <c r="S257" t="n">
        <v>0</v>
      </c>
      <c r="T257" t="n">
        <v>0</v>
      </c>
      <c r="U257" s="2" t="inlineStr"/>
    </row>
    <row r="258" ht="15" customHeight="1">
      <c r="A258" t="inlineStr">
        <is>
          <t>A 2507-2023</t>
        </is>
      </c>
      <c r="B258" t="inlineStr">
        <is>
          <t>avverkningsanmälan</t>
        </is>
      </c>
      <c r="C258" t="inlineStr">
        <is>
          <t>Föryngringsavverkning</t>
        </is>
      </c>
      <c r="D258" s="1" t="n">
        <v>44939</v>
      </c>
      <c r="E258" s="1" t="n">
        <v>46217</v>
      </c>
      <c r="F258" t="inlineStr">
        <is>
          <t>KALMAR LÄN</t>
        </is>
      </c>
      <c r="G258" t="inlineStr">
        <is>
          <t>HULTSFRED</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53835-2024</t>
        </is>
      </c>
      <c r="B259" t="inlineStr">
        <is>
          <t>avverkningsanmälan</t>
        </is>
      </c>
      <c r="C259" t="inlineStr">
        <is>
          <t>Föryngringsavverkning</t>
        </is>
      </c>
      <c r="D259" s="1" t="n">
        <v>45615</v>
      </c>
      <c r="E259" s="1" t="n">
        <v>46217</v>
      </c>
      <c r="F259" t="inlineStr">
        <is>
          <t>KALMAR LÄN</t>
        </is>
      </c>
      <c r="G259" t="inlineStr">
        <is>
          <t>HULTSFRED</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36278-2023</t>
        </is>
      </c>
      <c r="B260" t="inlineStr">
        <is>
          <t>avverkningsanmälan</t>
        </is>
      </c>
      <c r="C260" t="inlineStr">
        <is>
          <t>Föryngringsavverkning</t>
        </is>
      </c>
      <c r="D260" s="1" t="n">
        <v>45152</v>
      </c>
      <c r="E260" s="1" t="n">
        <v>46217</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42229-2023</t>
        </is>
      </c>
      <c r="B261" t="inlineStr">
        <is>
          <t>avverkningsanmälan</t>
        </is>
      </c>
      <c r="C261" t="inlineStr">
        <is>
          <t>Föryngringsavverkning</t>
        </is>
      </c>
      <c r="D261" s="1" t="n">
        <v>45180</v>
      </c>
      <c r="E261" s="1" t="n">
        <v>46217</v>
      </c>
      <c r="F261" t="inlineStr">
        <is>
          <t>KALMAR LÄN</t>
        </is>
      </c>
      <c r="G261" t="inlineStr">
        <is>
          <t>HULTSFRED</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43259-2024</t>
        </is>
      </c>
      <c r="B262" t="inlineStr">
        <is>
          <t>avverkningsanmälan</t>
        </is>
      </c>
      <c r="C262" t="inlineStr">
        <is>
          <t>Föryngringsavverkning</t>
        </is>
      </c>
      <c r="D262" s="1" t="n">
        <v>45568</v>
      </c>
      <c r="E262" s="1" t="n">
        <v>46217</v>
      </c>
      <c r="F262" t="inlineStr">
        <is>
          <t>KALMAR LÄN</t>
        </is>
      </c>
      <c r="G262" t="inlineStr">
        <is>
          <t>HULTSFRED</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11007-2025</t>
        </is>
      </c>
      <c r="B263" t="inlineStr">
        <is>
          <t>avverkningsanmälan</t>
        </is>
      </c>
      <c r="C263" t="inlineStr">
        <is>
          <t>Föryngringsavverkning</t>
        </is>
      </c>
      <c r="D263" s="1" t="n">
        <v>45723</v>
      </c>
      <c r="E263" s="1" t="n">
        <v>46217</v>
      </c>
      <c r="F263" t="inlineStr">
        <is>
          <t>KALMAR LÄN</t>
        </is>
      </c>
      <c r="G263" t="inlineStr">
        <is>
          <t>HULTSFRED</t>
        </is>
      </c>
      <c r="H263" t="inlineStr">
        <is>
          <t>Sveaskog</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52693-2023</t>
        </is>
      </c>
      <c r="B264" t="inlineStr">
        <is>
          <t>avverkningsanmälan</t>
        </is>
      </c>
      <c r="C264" t="inlineStr">
        <is>
          <t>Föryngringsavverkning</t>
        </is>
      </c>
      <c r="D264" s="1" t="n">
        <v>45225</v>
      </c>
      <c r="E264" s="1" t="n">
        <v>46217</v>
      </c>
      <c r="F264" t="inlineStr">
        <is>
          <t>KALMAR LÄN</t>
        </is>
      </c>
      <c r="G264" t="inlineStr">
        <is>
          <t>HULTSFRED</t>
        </is>
      </c>
      <c r="I264" t="n">
        <v>4.8</v>
      </c>
      <c r="J264" t="n">
        <v>0</v>
      </c>
      <c r="K264" t="n">
        <v>0</v>
      </c>
      <c r="L264" t="n">
        <v>0</v>
      </c>
      <c r="M264" t="n">
        <v>0</v>
      </c>
      <c r="N264" t="n">
        <v>0</v>
      </c>
      <c r="O264" t="n">
        <v>0</v>
      </c>
      <c r="P264" t="n">
        <v>0</v>
      </c>
      <c r="Q264" t="n">
        <v>0</v>
      </c>
      <c r="R264" t="n">
        <v>0</v>
      </c>
      <c r="S264" t="n">
        <v>0</v>
      </c>
      <c r="T264" t="n">
        <v>0</v>
      </c>
      <c r="U264" s="2" t="inlineStr"/>
    </row>
    <row r="265" ht="15" customHeight="1">
      <c r="A265" t="inlineStr">
        <is>
          <t>A 53810-2024</t>
        </is>
      </c>
      <c r="B265" t="inlineStr">
        <is>
          <t>avverkningsanmälan</t>
        </is>
      </c>
      <c r="C265" t="inlineStr">
        <is>
          <t>Föryngringsavverkning</t>
        </is>
      </c>
      <c r="D265" s="1" t="n">
        <v>45615</v>
      </c>
      <c r="E265" s="1" t="n">
        <v>46217</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s="2" t="inlineStr"/>
    </row>
    <row r="266" ht="15" customHeight="1">
      <c r="A266" t="inlineStr">
        <is>
          <t>A 8337-2023</t>
        </is>
      </c>
      <c r="B266" t="inlineStr">
        <is>
          <t>avverkningsanmälan</t>
        </is>
      </c>
      <c r="C266" t="inlineStr">
        <is>
          <t>Föryngringsavverkning</t>
        </is>
      </c>
      <c r="D266" s="1" t="n">
        <v>44975</v>
      </c>
      <c r="E266" s="1" t="n">
        <v>46217</v>
      </c>
      <c r="F266" t="inlineStr">
        <is>
          <t>KALMAR LÄN</t>
        </is>
      </c>
      <c r="G266" t="inlineStr">
        <is>
          <t>HULTSFRED</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11645-2023</t>
        </is>
      </c>
      <c r="B267" t="inlineStr">
        <is>
          <t>avverkningsanmälan</t>
        </is>
      </c>
      <c r="C267" t="inlineStr">
        <is>
          <t>Föryngringsavverkning</t>
        </is>
      </c>
      <c r="D267" s="1" t="n">
        <v>44994</v>
      </c>
      <c r="E267" s="1" t="n">
        <v>46217</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58861-2023</t>
        </is>
      </c>
      <c r="B268" t="inlineStr">
        <is>
          <t>avverkningsanmälan</t>
        </is>
      </c>
      <c r="C268" t="inlineStr">
        <is>
          <t>Föryngringsavverkning</t>
        </is>
      </c>
      <c r="D268" s="1" t="n">
        <v>45252</v>
      </c>
      <c r="E268" s="1" t="n">
        <v>46217</v>
      </c>
      <c r="F268" t="inlineStr">
        <is>
          <t>KALMAR LÄN</t>
        </is>
      </c>
      <c r="G268" t="inlineStr">
        <is>
          <t>HULTSFRED</t>
        </is>
      </c>
      <c r="H268" t="inlineStr">
        <is>
          <t>Kyrkan</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42859-2025</t>
        </is>
      </c>
      <c r="B269" t="inlineStr">
        <is>
          <t>avverkningsanmälan</t>
        </is>
      </c>
      <c r="C269" t="inlineStr">
        <is>
          <t>Föryngringsavverkning</t>
        </is>
      </c>
      <c r="D269" s="1" t="n">
        <v>45908</v>
      </c>
      <c r="E269" s="1" t="n">
        <v>46217</v>
      </c>
      <c r="F269" t="inlineStr">
        <is>
          <t>KALMAR LÄN</t>
        </is>
      </c>
      <c r="G269" t="inlineStr">
        <is>
          <t>HULTSFRED</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44256-2024</t>
        </is>
      </c>
      <c r="B270" t="inlineStr">
        <is>
          <t>avverkningsanmälan</t>
        </is>
      </c>
      <c r="C270" t="inlineStr">
        <is>
          <t>Föryngringsavverkning</t>
        </is>
      </c>
      <c r="D270" s="1" t="n">
        <v>45573</v>
      </c>
      <c r="E270" s="1" t="n">
        <v>46217</v>
      </c>
      <c r="F270" t="inlineStr">
        <is>
          <t>KALMAR LÄN</t>
        </is>
      </c>
      <c r="G270" t="inlineStr">
        <is>
          <t>HULTSFRED</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33958-2025</t>
        </is>
      </c>
      <c r="B271" t="inlineStr">
        <is>
          <t>avverkningsanmälan</t>
        </is>
      </c>
      <c r="C271" t="inlineStr">
        <is>
          <t>Föryngringsavverkning</t>
        </is>
      </c>
      <c r="D271" s="1" t="n">
        <v>45842</v>
      </c>
      <c r="E271" s="1" t="n">
        <v>46217</v>
      </c>
      <c r="F271" t="inlineStr">
        <is>
          <t>KALMAR LÄN</t>
        </is>
      </c>
      <c r="G271" t="inlineStr">
        <is>
          <t>HULTSFRED</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30005-2025</t>
        </is>
      </c>
      <c r="B272" t="inlineStr">
        <is>
          <t>avverkningsanmälan</t>
        </is>
      </c>
      <c r="C272" t="inlineStr">
        <is>
          <t>Föryngringsavverkning</t>
        </is>
      </c>
      <c r="D272" s="1" t="n">
        <v>45826</v>
      </c>
      <c r="E272" s="1" t="n">
        <v>46217</v>
      </c>
      <c r="F272" t="inlineStr">
        <is>
          <t>KALMAR LÄN</t>
        </is>
      </c>
      <c r="G272" t="inlineStr">
        <is>
          <t>HULTSFRED</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20052-2026</t>
        </is>
      </c>
      <c r="B273" t="inlineStr">
        <is>
          <t>avverkningsanmälan</t>
        </is>
      </c>
      <c r="C273" t="inlineStr">
        <is>
          <t>Föryngringsavverkning</t>
        </is>
      </c>
      <c r="D273" s="1" t="n">
        <v>46136</v>
      </c>
      <c r="E273" s="1" t="n">
        <v>46217</v>
      </c>
      <c r="F273" t="inlineStr">
        <is>
          <t>KALMAR LÄN</t>
        </is>
      </c>
      <c r="G273" t="inlineStr">
        <is>
          <t>HULTSFRED</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35177-2025</t>
        </is>
      </c>
      <c r="B274" t="inlineStr">
        <is>
          <t>avverkningsanmälan</t>
        </is>
      </c>
      <c r="C274" t="inlineStr">
        <is>
          <t>Föryngringsavverkning</t>
        </is>
      </c>
      <c r="D274" s="1" t="n">
        <v>45852</v>
      </c>
      <c r="E274" s="1" t="n">
        <v>46217</v>
      </c>
      <c r="F274" t="inlineStr">
        <is>
          <t>KALMAR LÄN</t>
        </is>
      </c>
      <c r="G274" t="inlineStr">
        <is>
          <t>HULTSFRED</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41976-2022</t>
        </is>
      </c>
      <c r="B275" t="inlineStr">
        <is>
          <t>avverkningsanmälan</t>
        </is>
      </c>
      <c r="C275" t="inlineStr">
        <is>
          <t>Föryngringsavverkning</t>
        </is>
      </c>
      <c r="D275" s="1" t="n">
        <v>44830</v>
      </c>
      <c r="E275" s="1" t="n">
        <v>46217</v>
      </c>
      <c r="F275" t="inlineStr">
        <is>
          <t>KALMAR LÄN</t>
        </is>
      </c>
      <c r="G275" t="inlineStr">
        <is>
          <t>HULTSFRED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42498-2022</t>
        </is>
      </c>
      <c r="B276" t="inlineStr">
        <is>
          <t>avverkningsanmälan</t>
        </is>
      </c>
      <c r="C276" t="inlineStr">
        <is>
          <t>Föryngringsavverkning</t>
        </is>
      </c>
      <c r="D276" s="1" t="n">
        <v>44831</v>
      </c>
      <c r="E276" s="1" t="n">
        <v>46217</v>
      </c>
      <c r="F276" t="inlineStr">
        <is>
          <t>KALMAR LÄN</t>
        </is>
      </c>
      <c r="G276" t="inlineStr">
        <is>
          <t>HULTSFRED</t>
        </is>
      </c>
      <c r="I276" t="n">
        <v>4.9</v>
      </c>
      <c r="J276" t="n">
        <v>0</v>
      </c>
      <c r="K276" t="n">
        <v>0</v>
      </c>
      <c r="L276" t="n">
        <v>0</v>
      </c>
      <c r="M276" t="n">
        <v>0</v>
      </c>
      <c r="N276" t="n">
        <v>0</v>
      </c>
      <c r="O276" t="n">
        <v>0</v>
      </c>
      <c r="P276" t="n">
        <v>0</v>
      </c>
      <c r="Q276" t="n">
        <v>0</v>
      </c>
      <c r="R276" t="n">
        <v>0</v>
      </c>
      <c r="S276" t="n">
        <v>0</v>
      </c>
      <c r="T276" t="n">
        <v>0</v>
      </c>
      <c r="U276" s="2" t="inlineStr"/>
    </row>
    <row r="277" ht="15" customHeight="1">
      <c r="A277" t="inlineStr">
        <is>
          <t>A 31422-2024</t>
        </is>
      </c>
      <c r="B277" t="inlineStr">
        <is>
          <t>avverkningsanmälan</t>
        </is>
      </c>
      <c r="C277" t="inlineStr">
        <is>
          <t>Föryngringsavverkning</t>
        </is>
      </c>
      <c r="D277" s="1" t="n">
        <v>45505</v>
      </c>
      <c r="E277" s="1" t="n">
        <v>46217</v>
      </c>
      <c r="F277" t="inlineStr">
        <is>
          <t>KALMAR LÄN</t>
        </is>
      </c>
      <c r="G277" t="inlineStr">
        <is>
          <t>HULTSFRED</t>
        </is>
      </c>
      <c r="I277" t="n">
        <v>5.5</v>
      </c>
      <c r="J277" t="n">
        <v>0</v>
      </c>
      <c r="K277" t="n">
        <v>0</v>
      </c>
      <c r="L277" t="n">
        <v>0</v>
      </c>
      <c r="M277" t="n">
        <v>0</v>
      </c>
      <c r="N277" t="n">
        <v>0</v>
      </c>
      <c r="O277" t="n">
        <v>0</v>
      </c>
      <c r="P277" t="n">
        <v>0</v>
      </c>
      <c r="Q277" t="n">
        <v>0</v>
      </c>
      <c r="R277" t="n">
        <v>0</v>
      </c>
      <c r="S277" t="n">
        <v>0</v>
      </c>
      <c r="T277" t="n">
        <v>0</v>
      </c>
      <c r="U277" s="2" t="inlineStr"/>
    </row>
    <row r="278" ht="15" customHeight="1">
      <c r="A278" t="inlineStr">
        <is>
          <t>A 9326-2025</t>
        </is>
      </c>
      <c r="B278" t="inlineStr">
        <is>
          <t>avverkningsanmälan</t>
        </is>
      </c>
      <c r="C278" t="inlineStr">
        <is>
          <t>Föryngringsavverkning</t>
        </is>
      </c>
      <c r="D278" s="1" t="n">
        <v>45714</v>
      </c>
      <c r="E278" s="1" t="n">
        <v>46217</v>
      </c>
      <c r="F278" t="inlineStr">
        <is>
          <t>KALMAR LÄN</t>
        </is>
      </c>
      <c r="G278" t="inlineStr">
        <is>
          <t>HULTSFRED</t>
        </is>
      </c>
      <c r="H278" t="inlineStr">
        <is>
          <t>Sveaskog</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39422-2025</t>
        </is>
      </c>
      <c r="B279" t="inlineStr">
        <is>
          <t>avverkningsanmälan</t>
        </is>
      </c>
      <c r="C279" t="inlineStr">
        <is>
          <t>Föryngringsavverkning</t>
        </is>
      </c>
      <c r="D279" s="1" t="n">
        <v>45889</v>
      </c>
      <c r="E279" s="1" t="n">
        <v>46217</v>
      </c>
      <c r="F279" t="inlineStr">
        <is>
          <t>KALMAR LÄN</t>
        </is>
      </c>
      <c r="G279" t="inlineStr">
        <is>
          <t>HULTSFRED</t>
        </is>
      </c>
      <c r="I279" t="n">
        <v>4.6</v>
      </c>
      <c r="J279" t="n">
        <v>0</v>
      </c>
      <c r="K279" t="n">
        <v>0</v>
      </c>
      <c r="L279" t="n">
        <v>0</v>
      </c>
      <c r="M279" t="n">
        <v>0</v>
      </c>
      <c r="N279" t="n">
        <v>0</v>
      </c>
      <c r="O279" t="n">
        <v>0</v>
      </c>
      <c r="P279" t="n">
        <v>0</v>
      </c>
      <c r="Q279" t="n">
        <v>0</v>
      </c>
      <c r="R279" t="n">
        <v>0</v>
      </c>
      <c r="S279" t="n">
        <v>0</v>
      </c>
      <c r="T279" t="n">
        <v>0</v>
      </c>
      <c r="U279" s="2" t="inlineStr"/>
    </row>
    <row r="280" ht="15" customHeight="1">
      <c r="A280" t="inlineStr">
        <is>
          <t>A 28575-2025</t>
        </is>
      </c>
      <c r="B280" t="inlineStr">
        <is>
          <t>avverkningsanmälan</t>
        </is>
      </c>
      <c r="C280" t="inlineStr">
        <is>
          <t>Föryngringsavverkning</t>
        </is>
      </c>
      <c r="D280" s="1" t="n">
        <v>45819</v>
      </c>
      <c r="E280" s="1" t="n">
        <v>46217</v>
      </c>
      <c r="F280" t="inlineStr">
        <is>
          <t>KALMAR LÄN</t>
        </is>
      </c>
      <c r="G280" t="inlineStr">
        <is>
          <t>HULTSFRED</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31423-2024</t>
        </is>
      </c>
      <c r="B281" t="inlineStr">
        <is>
          <t>avverkningsanmälan</t>
        </is>
      </c>
      <c r="C281" t="inlineStr">
        <is>
          <t>Föryngringsavverkning</t>
        </is>
      </c>
      <c r="D281" s="1" t="n">
        <v>45505</v>
      </c>
      <c r="E281" s="1" t="n">
        <v>46217</v>
      </c>
      <c r="F281" t="inlineStr">
        <is>
          <t>KALMAR LÄN</t>
        </is>
      </c>
      <c r="G281" t="inlineStr">
        <is>
          <t>HULTSFRED</t>
        </is>
      </c>
      <c r="I281" t="n">
        <v>4.3</v>
      </c>
      <c r="J281" t="n">
        <v>0</v>
      </c>
      <c r="K281" t="n">
        <v>0</v>
      </c>
      <c r="L281" t="n">
        <v>0</v>
      </c>
      <c r="M281" t="n">
        <v>0</v>
      </c>
      <c r="N281" t="n">
        <v>0</v>
      </c>
      <c r="O281" t="n">
        <v>0</v>
      </c>
      <c r="P281" t="n">
        <v>0</v>
      </c>
      <c r="Q281" t="n">
        <v>0</v>
      </c>
      <c r="R281" t="n">
        <v>0</v>
      </c>
      <c r="S281" t="n">
        <v>0</v>
      </c>
      <c r="T281" t="n">
        <v>0</v>
      </c>
      <c r="U281" s="2" t="inlineStr"/>
    </row>
    <row r="282" ht="15" customHeight="1">
      <c r="A282" t="inlineStr">
        <is>
          <t>A 12166-2023</t>
        </is>
      </c>
      <c r="B282" t="inlineStr">
        <is>
          <t>avverkningsanmälan</t>
        </is>
      </c>
      <c r="C282" t="inlineStr">
        <is>
          <t>Föryngringsavverkning</t>
        </is>
      </c>
      <c r="D282" s="1" t="n">
        <v>44998</v>
      </c>
      <c r="E282" s="1" t="n">
        <v>46217</v>
      </c>
      <c r="F282" t="inlineStr">
        <is>
          <t>KALMAR LÄN</t>
        </is>
      </c>
      <c r="G282" t="inlineStr">
        <is>
          <t>HULTSFRED</t>
        </is>
      </c>
      <c r="H282" t="inlineStr">
        <is>
          <t>Övriga Aktiebolag</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44806-2025</t>
        </is>
      </c>
      <c r="B283" t="inlineStr">
        <is>
          <t>avverkningsanmälan</t>
        </is>
      </c>
      <c r="C283" t="inlineStr">
        <is>
          <t>Föryngringsavverkning</t>
        </is>
      </c>
      <c r="D283" s="1" t="n">
        <v>45918</v>
      </c>
      <c r="E283" s="1" t="n">
        <v>46217</v>
      </c>
      <c r="F283" t="inlineStr">
        <is>
          <t>KALMAR LÄN</t>
        </is>
      </c>
      <c r="G283" t="inlineStr">
        <is>
          <t>HULTSFRED</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49481-2025</t>
        </is>
      </c>
      <c r="B284" t="inlineStr">
        <is>
          <t>avverkningsanmälan</t>
        </is>
      </c>
      <c r="C284" t="inlineStr">
        <is>
          <t>Föryngringsavverkning</t>
        </is>
      </c>
      <c r="D284" s="1" t="n">
        <v>45939</v>
      </c>
      <c r="E284" s="1" t="n">
        <v>46217</v>
      </c>
      <c r="F284" t="inlineStr">
        <is>
          <t>KALMAR LÄN</t>
        </is>
      </c>
      <c r="G284" t="inlineStr">
        <is>
          <t>HULTSFRED</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27531-2025</t>
        </is>
      </c>
      <c r="B285" t="inlineStr">
        <is>
          <t>avverkningsanmälan</t>
        </is>
      </c>
      <c r="C285" t="inlineStr">
        <is>
          <t>Föryngringsavverkning</t>
        </is>
      </c>
      <c r="D285" s="1" t="n">
        <v>45813</v>
      </c>
      <c r="E285" s="1" t="n">
        <v>46217</v>
      </c>
      <c r="F285" t="inlineStr">
        <is>
          <t>KALMAR LÄN</t>
        </is>
      </c>
      <c r="G285" t="inlineStr">
        <is>
          <t>HULTSFRED</t>
        </is>
      </c>
      <c r="I285" t="n">
        <v>3.5</v>
      </c>
      <c r="J285" t="n">
        <v>0</v>
      </c>
      <c r="K285" t="n">
        <v>0</v>
      </c>
      <c r="L285" t="n">
        <v>0</v>
      </c>
      <c r="M285" t="n">
        <v>0</v>
      </c>
      <c r="N285" t="n">
        <v>0</v>
      </c>
      <c r="O285" t="n">
        <v>0</v>
      </c>
      <c r="P285" t="n">
        <v>0</v>
      </c>
      <c r="Q285" t="n">
        <v>0</v>
      </c>
      <c r="R285" t="n">
        <v>0</v>
      </c>
      <c r="S285" t="n">
        <v>0</v>
      </c>
      <c r="T285" t="n">
        <v>0</v>
      </c>
      <c r="U285" s="2" t="inlineStr"/>
    </row>
    <row r="286" ht="15" customHeight="1">
      <c r="A286" t="inlineStr">
        <is>
          <t>A 33960-2025</t>
        </is>
      </c>
      <c r="B286" t="inlineStr">
        <is>
          <t>avverkningsanmälan</t>
        </is>
      </c>
      <c r="C286" t="inlineStr">
        <is>
          <t>Föryngringsavverkning</t>
        </is>
      </c>
      <c r="D286" s="1" t="n">
        <v>45842</v>
      </c>
      <c r="E286" s="1" t="n">
        <v>46217</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45831-2025</t>
        </is>
      </c>
      <c r="B287" t="inlineStr">
        <is>
          <t>avverkningsanmälan</t>
        </is>
      </c>
      <c r="C287" t="inlineStr">
        <is>
          <t>Föryngringsavverkning</t>
        </is>
      </c>
      <c r="D287" s="1" t="n">
        <v>45923</v>
      </c>
      <c r="E287" s="1" t="n">
        <v>46217</v>
      </c>
      <c r="F287" t="inlineStr">
        <is>
          <t>KALMAR LÄN</t>
        </is>
      </c>
      <c r="G287" t="inlineStr">
        <is>
          <t>HULTSFRED</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16890-2025</t>
        </is>
      </c>
      <c r="B288" t="inlineStr">
        <is>
          <t>avverkningsanmälan</t>
        </is>
      </c>
      <c r="C288" t="inlineStr">
        <is>
          <t>Avverkning för att bevara och utveckla /försöksver</t>
        </is>
      </c>
      <c r="D288" s="1" t="n">
        <v>45755</v>
      </c>
      <c r="E288" s="1" t="n">
        <v>46217</v>
      </c>
      <c r="F288" t="inlineStr">
        <is>
          <t>KALMAR LÄN</t>
        </is>
      </c>
      <c r="G288" t="inlineStr">
        <is>
          <t>HULTSFRED</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1770-2024</t>
        </is>
      </c>
      <c r="B289" t="inlineStr">
        <is>
          <t>avverkningsanmälan</t>
        </is>
      </c>
      <c r="C289" t="inlineStr">
        <is>
          <t>Föryngringsavverkning</t>
        </is>
      </c>
      <c r="D289" s="1" t="n">
        <v>45307</v>
      </c>
      <c r="E289" s="1" t="n">
        <v>46217</v>
      </c>
      <c r="F289" t="inlineStr">
        <is>
          <t>KALMAR LÄN</t>
        </is>
      </c>
      <c r="G289" t="inlineStr">
        <is>
          <t>HULTSFRED</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11433-2024</t>
        </is>
      </c>
      <c r="B290" t="inlineStr">
        <is>
          <t>avverkningsanmälan</t>
        </is>
      </c>
      <c r="C290" t="inlineStr">
        <is>
          <t>Föryngringsavverkning</t>
        </is>
      </c>
      <c r="D290" s="1" t="n">
        <v>45372</v>
      </c>
      <c r="E290" s="1" t="n">
        <v>46217</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24341-2023</t>
        </is>
      </c>
      <c r="B291" t="inlineStr">
        <is>
          <t>avverkningsanmälan</t>
        </is>
      </c>
      <c r="C291" t="inlineStr">
        <is>
          <t>Föryngringsavverkning</t>
        </is>
      </c>
      <c r="D291" s="1" t="n">
        <v>45081</v>
      </c>
      <c r="E291" s="1" t="n">
        <v>46217</v>
      </c>
      <c r="F291" t="inlineStr">
        <is>
          <t>KALMAR LÄN</t>
        </is>
      </c>
      <c r="G291" t="inlineStr">
        <is>
          <t>HULTSFRED</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52880-2024</t>
        </is>
      </c>
      <c r="B292" t="inlineStr">
        <is>
          <t>avverkningsanmälan</t>
        </is>
      </c>
      <c r="C292" t="inlineStr">
        <is>
          <t>Föryngringsavverkning</t>
        </is>
      </c>
      <c r="D292" s="1" t="n">
        <v>45610</v>
      </c>
      <c r="E292" s="1" t="n">
        <v>46217</v>
      </c>
      <c r="F292" t="inlineStr">
        <is>
          <t>KALMAR LÄN</t>
        </is>
      </c>
      <c r="G292" t="inlineStr">
        <is>
          <t>HULTSFRED</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50334-2023</t>
        </is>
      </c>
      <c r="B293" t="inlineStr">
        <is>
          <t>avverkningsanmälan</t>
        </is>
      </c>
      <c r="C293" t="inlineStr">
        <is>
          <t>Föryngringsavverkning</t>
        </is>
      </c>
      <c r="D293" s="1" t="n">
        <v>45216</v>
      </c>
      <c r="E293" s="1" t="n">
        <v>46217</v>
      </c>
      <c r="F293" t="inlineStr">
        <is>
          <t>KALMAR LÄN</t>
        </is>
      </c>
      <c r="G293" t="inlineStr">
        <is>
          <t>HULTSFRED</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3999-2023</t>
        </is>
      </c>
      <c r="B294" t="inlineStr">
        <is>
          <t>avverkningsanmälan</t>
        </is>
      </c>
      <c r="C294" t="inlineStr">
        <is>
          <t>Föryngringsavverkning</t>
        </is>
      </c>
      <c r="D294" s="1" t="n">
        <v>44952</v>
      </c>
      <c r="E294" s="1" t="n">
        <v>46217</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38568-2025</t>
        </is>
      </c>
      <c r="B295" t="inlineStr">
        <is>
          <t>avverkningsanmälan</t>
        </is>
      </c>
      <c r="C295" t="inlineStr">
        <is>
          <t>Föryngringsavverkning</t>
        </is>
      </c>
      <c r="D295" s="1" t="n">
        <v>45884</v>
      </c>
      <c r="E295" s="1" t="n">
        <v>46217</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40187-2025</t>
        </is>
      </c>
      <c r="B296" t="inlineStr">
        <is>
          <t>avverkningsanmälan</t>
        </is>
      </c>
      <c r="C296" t="inlineStr">
        <is>
          <t>Föryngringsavverkning</t>
        </is>
      </c>
      <c r="D296" s="1" t="n">
        <v>45894</v>
      </c>
      <c r="E296" s="1" t="n">
        <v>46217</v>
      </c>
      <c r="F296" t="inlineStr">
        <is>
          <t>KALMAR LÄN</t>
        </is>
      </c>
      <c r="G296" t="inlineStr">
        <is>
          <t>HULTSFRED</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62717-2025</t>
        </is>
      </c>
      <c r="B297" t="inlineStr">
        <is>
          <t>avverkningsanmälan</t>
        </is>
      </c>
      <c r="C297" t="inlineStr">
        <is>
          <t>Föryngringsavverkning</t>
        </is>
      </c>
      <c r="D297" s="1" t="n">
        <v>46008</v>
      </c>
      <c r="E297" s="1" t="n">
        <v>46217</v>
      </c>
      <c r="F297" t="inlineStr">
        <is>
          <t>KALMAR LÄN</t>
        </is>
      </c>
      <c r="G297" t="inlineStr">
        <is>
          <t>HULTSFRED</t>
        </is>
      </c>
      <c r="I297" t="n">
        <v>6.2</v>
      </c>
      <c r="J297" t="n">
        <v>0</v>
      </c>
      <c r="K297" t="n">
        <v>0</v>
      </c>
      <c r="L297" t="n">
        <v>0</v>
      </c>
      <c r="M297" t="n">
        <v>0</v>
      </c>
      <c r="N297" t="n">
        <v>0</v>
      </c>
      <c r="O297" t="n">
        <v>0</v>
      </c>
      <c r="P297" t="n">
        <v>0</v>
      </c>
      <c r="Q297" t="n">
        <v>0</v>
      </c>
      <c r="R297" t="n">
        <v>0</v>
      </c>
      <c r="S297" t="n">
        <v>0</v>
      </c>
      <c r="T297" t="n">
        <v>0</v>
      </c>
      <c r="U297" s="2" t="inlineStr"/>
    </row>
    <row r="298" ht="15" customHeight="1">
      <c r="A298" t="inlineStr">
        <is>
          <t>A 40326-2023</t>
        </is>
      </c>
      <c r="B298" t="inlineStr">
        <is>
          <t>avverkningsanmälan</t>
        </is>
      </c>
      <c r="C298" t="inlineStr">
        <is>
          <t>Föryngringsavverkning</t>
        </is>
      </c>
      <c r="D298" s="1" t="n">
        <v>45169</v>
      </c>
      <c r="E298" s="1" t="n">
        <v>46217</v>
      </c>
      <c r="F298" t="inlineStr">
        <is>
          <t>KALMAR LÄN</t>
        </is>
      </c>
      <c r="G298" t="inlineStr">
        <is>
          <t>HULTSFRED</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45865-2025</t>
        </is>
      </c>
      <c r="B299" t="inlineStr">
        <is>
          <t>avverkningsanmälan</t>
        </is>
      </c>
      <c r="C299" t="inlineStr">
        <is>
          <t>Föryngringsavverkning</t>
        </is>
      </c>
      <c r="D299" s="1" t="n">
        <v>45923</v>
      </c>
      <c r="E299" s="1" t="n">
        <v>46217</v>
      </c>
      <c r="F299" t="inlineStr">
        <is>
          <t>KALMAR LÄN</t>
        </is>
      </c>
      <c r="G299" t="inlineStr">
        <is>
          <t>HULTSFRED</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12394-2023</t>
        </is>
      </c>
      <c r="B300" t="inlineStr">
        <is>
          <t>avverkningsanmälan</t>
        </is>
      </c>
      <c r="C300" t="inlineStr">
        <is>
          <t>Föryngringsavverkning</t>
        </is>
      </c>
      <c r="D300" s="1" t="n">
        <v>44999</v>
      </c>
      <c r="E300" s="1" t="n">
        <v>46217</v>
      </c>
      <c r="F300" t="inlineStr">
        <is>
          <t>KALMAR LÄN</t>
        </is>
      </c>
      <c r="G300" t="inlineStr">
        <is>
          <t>HULTSFRED</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42567-2022</t>
        </is>
      </c>
      <c r="B301" t="inlineStr">
        <is>
          <t>avverkningsanmälan</t>
        </is>
      </c>
      <c r="C301" t="inlineStr">
        <is>
          <t>Föryngringsavverkning</t>
        </is>
      </c>
      <c r="D301" s="1" t="n">
        <v>44831</v>
      </c>
      <c r="E301" s="1" t="n">
        <v>46217</v>
      </c>
      <c r="F301" t="inlineStr">
        <is>
          <t>KALMAR LÄN</t>
        </is>
      </c>
      <c r="G301" t="inlineStr">
        <is>
          <t>HULTSFRED</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7336-2025</t>
        </is>
      </c>
      <c r="B302" t="inlineStr">
        <is>
          <t>avverkningsanmälan</t>
        </is>
      </c>
      <c r="C302" t="inlineStr">
        <is>
          <t>Avverkning för att bevara och utveckla /försöksver</t>
        </is>
      </c>
      <c r="D302" s="1" t="n">
        <v>45703</v>
      </c>
      <c r="E302" s="1" t="n">
        <v>46217</v>
      </c>
      <c r="F302" t="inlineStr">
        <is>
          <t>KALMAR LÄN</t>
        </is>
      </c>
      <c r="G302" t="inlineStr">
        <is>
          <t>HULTSFRED</t>
        </is>
      </c>
      <c r="H302" t="inlineStr">
        <is>
          <t>Sveaskog</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60101-2024</t>
        </is>
      </c>
      <c r="B303" t="inlineStr">
        <is>
          <t>avverkningsanmälan</t>
        </is>
      </c>
      <c r="C303" t="inlineStr">
        <is>
          <t>Föryngringsavverkning</t>
        </is>
      </c>
      <c r="D303" s="1" t="n">
        <v>45642</v>
      </c>
      <c r="E303" s="1" t="n">
        <v>46217</v>
      </c>
      <c r="F303" t="inlineStr">
        <is>
          <t>KALMAR LÄN</t>
        </is>
      </c>
      <c r="G303" t="inlineStr">
        <is>
          <t>HULTSFRED</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15130-2023</t>
        </is>
      </c>
      <c r="B304" t="inlineStr">
        <is>
          <t>avverkningsanmälan</t>
        </is>
      </c>
      <c r="C304" t="inlineStr">
        <is>
          <t>Föryngringsavverkning</t>
        </is>
      </c>
      <c r="D304" s="1" t="n">
        <v>45016</v>
      </c>
      <c r="E304" s="1" t="n">
        <v>46217</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27304-2025</t>
        </is>
      </c>
      <c r="B305" t="inlineStr">
        <is>
          <t>avverkningsanmälan</t>
        </is>
      </c>
      <c r="C305" t="inlineStr">
        <is>
          <t>Föryngringsavverkning</t>
        </is>
      </c>
      <c r="D305" s="1" t="n">
        <v>45812</v>
      </c>
      <c r="E305" s="1" t="n">
        <v>46217</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47726-2025</t>
        </is>
      </c>
      <c r="B306" t="inlineStr">
        <is>
          <t>avverkningsanmälan</t>
        </is>
      </c>
      <c r="C306" t="inlineStr">
        <is>
          <t>Föryngringsavverkning</t>
        </is>
      </c>
      <c r="D306" s="1" t="n">
        <v>45931</v>
      </c>
      <c r="E306" s="1" t="n">
        <v>46217</v>
      </c>
      <c r="F306" t="inlineStr">
        <is>
          <t>KALMAR LÄN</t>
        </is>
      </c>
      <c r="G306" t="inlineStr">
        <is>
          <t>HULTSFRED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45834-2025</t>
        </is>
      </c>
      <c r="B307" t="inlineStr">
        <is>
          <t>avverkningsanmälan</t>
        </is>
      </c>
      <c r="C307" t="inlineStr">
        <is>
          <t>Föryngringsavverkning</t>
        </is>
      </c>
      <c r="D307" s="1" t="n">
        <v>45923</v>
      </c>
      <c r="E307" s="1" t="n">
        <v>46217</v>
      </c>
      <c r="F307" t="inlineStr">
        <is>
          <t>KALMAR LÄN</t>
        </is>
      </c>
      <c r="G307" t="inlineStr">
        <is>
          <t>HULTSFRED</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12192-2025</t>
        </is>
      </c>
      <c r="B308" t="inlineStr">
        <is>
          <t>avverkningsanmälan</t>
        </is>
      </c>
      <c r="C308" t="inlineStr">
        <is>
          <t>Föryngringsavverkning</t>
        </is>
      </c>
      <c r="D308" s="1" t="n">
        <v>45729</v>
      </c>
      <c r="E308" s="1" t="n">
        <v>46217</v>
      </c>
      <c r="F308" t="inlineStr">
        <is>
          <t>KALMAR LÄN</t>
        </is>
      </c>
      <c r="G308" t="inlineStr">
        <is>
          <t>HULTSFRED</t>
        </is>
      </c>
      <c r="H308" t="inlineStr">
        <is>
          <t>Sveaskog</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21642-2025</t>
        </is>
      </c>
      <c r="B309" t="inlineStr">
        <is>
          <t>avverkningsanmälan</t>
        </is>
      </c>
      <c r="C309" t="inlineStr">
        <is>
          <t>Föryngringsavverkning</t>
        </is>
      </c>
      <c r="D309" s="1" t="n">
        <v>45783</v>
      </c>
      <c r="E309" s="1" t="n">
        <v>46217</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48806-2025</t>
        </is>
      </c>
      <c r="B310" t="inlineStr">
        <is>
          <t>avverkningsanmälan</t>
        </is>
      </c>
      <c r="C310" t="inlineStr">
        <is>
          <t>Föryngringsavverkning</t>
        </is>
      </c>
      <c r="D310" s="1" t="n">
        <v>45937</v>
      </c>
      <c r="E310" s="1" t="n">
        <v>46217</v>
      </c>
      <c r="F310" t="inlineStr">
        <is>
          <t>KALMAR LÄN</t>
        </is>
      </c>
      <c r="G310" t="inlineStr">
        <is>
          <t>HULTSFRED</t>
        </is>
      </c>
      <c r="I310" t="n">
        <v>3</v>
      </c>
      <c r="J310" t="n">
        <v>0</v>
      </c>
      <c r="K310" t="n">
        <v>0</v>
      </c>
      <c r="L310" t="n">
        <v>0</v>
      </c>
      <c r="M310" t="n">
        <v>0</v>
      </c>
      <c r="N310" t="n">
        <v>0</v>
      </c>
      <c r="O310" t="n">
        <v>0</v>
      </c>
      <c r="P310" t="n">
        <v>0</v>
      </c>
      <c r="Q310" t="n">
        <v>0</v>
      </c>
      <c r="R310" t="n">
        <v>0</v>
      </c>
      <c r="S310" t="n">
        <v>0</v>
      </c>
      <c r="T310" t="n">
        <v>0</v>
      </c>
      <c r="U310" s="2" t="inlineStr"/>
    </row>
    <row r="311" ht="15" customHeight="1">
      <c r="A311" t="inlineStr">
        <is>
          <t>A 9587-2025</t>
        </is>
      </c>
      <c r="B311" t="inlineStr">
        <is>
          <t>avverkningsanmälan</t>
        </is>
      </c>
      <c r="C311" t="inlineStr">
        <is>
          <t>Föryngringsavverkning</t>
        </is>
      </c>
      <c r="D311" s="1" t="n">
        <v>45715</v>
      </c>
      <c r="E311" s="1" t="n">
        <v>46217</v>
      </c>
      <c r="F311" t="inlineStr">
        <is>
          <t>KALMAR LÄN</t>
        </is>
      </c>
      <c r="G311" t="inlineStr">
        <is>
          <t>HULTSFRED</t>
        </is>
      </c>
      <c r="H311" t="inlineStr">
        <is>
          <t>Sveaskog</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40330-2023</t>
        </is>
      </c>
      <c r="B312" t="inlineStr">
        <is>
          <t>avverkningsanmälan</t>
        </is>
      </c>
      <c r="C312" t="inlineStr">
        <is>
          <t>Föryngringsavverkning</t>
        </is>
      </c>
      <c r="D312" s="1" t="n">
        <v>45169</v>
      </c>
      <c r="E312" s="1" t="n">
        <v>46217</v>
      </c>
      <c r="F312" t="inlineStr">
        <is>
          <t>KALMAR LÄN</t>
        </is>
      </c>
      <c r="G312" t="inlineStr">
        <is>
          <t>HULTSFRED</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9387-2023</t>
        </is>
      </c>
      <c r="B313" t="inlineStr">
        <is>
          <t>avverkningsanmälan</t>
        </is>
      </c>
      <c r="C313" t="inlineStr">
        <is>
          <t>Föryngringsavverkning</t>
        </is>
      </c>
      <c r="D313" s="1" t="n">
        <v>44981</v>
      </c>
      <c r="E313" s="1" t="n">
        <v>46217</v>
      </c>
      <c r="F313" t="inlineStr">
        <is>
          <t>KALMAR LÄN</t>
        </is>
      </c>
      <c r="G313" t="inlineStr">
        <is>
          <t>HULTSFRED</t>
        </is>
      </c>
      <c r="I313" t="n">
        <v>7.6</v>
      </c>
      <c r="J313" t="n">
        <v>0</v>
      </c>
      <c r="K313" t="n">
        <v>0</v>
      </c>
      <c r="L313" t="n">
        <v>0</v>
      </c>
      <c r="M313" t="n">
        <v>0</v>
      </c>
      <c r="N313" t="n">
        <v>0</v>
      </c>
      <c r="O313" t="n">
        <v>0</v>
      </c>
      <c r="P313" t="n">
        <v>0</v>
      </c>
      <c r="Q313" t="n">
        <v>0</v>
      </c>
      <c r="R313" t="n">
        <v>0</v>
      </c>
      <c r="S313" t="n">
        <v>0</v>
      </c>
      <c r="T313" t="n">
        <v>0</v>
      </c>
      <c r="U313" s="2" t="inlineStr"/>
    </row>
    <row r="314" ht="15" customHeight="1">
      <c r="A314" t="inlineStr">
        <is>
          <t>A 30674-2025</t>
        </is>
      </c>
      <c r="B314" t="inlineStr">
        <is>
          <t>avverkningsanmälan</t>
        </is>
      </c>
      <c r="C314" t="inlineStr">
        <is>
          <t>Föryngringsavverkning</t>
        </is>
      </c>
      <c r="D314" s="1" t="n">
        <v>45831</v>
      </c>
      <c r="E314" s="1" t="n">
        <v>46217</v>
      </c>
      <c r="F314" t="inlineStr">
        <is>
          <t>KALMAR LÄN</t>
        </is>
      </c>
      <c r="G314" t="inlineStr">
        <is>
          <t>HULTSFRED</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11938-2023</t>
        </is>
      </c>
      <c r="B315" t="inlineStr">
        <is>
          <t>avverkningsanmälan</t>
        </is>
      </c>
      <c r="C315" t="inlineStr">
        <is>
          <t>Föryngringsavverkning</t>
        </is>
      </c>
      <c r="D315" s="1" t="n">
        <v>44995</v>
      </c>
      <c r="E315" s="1" t="n">
        <v>46217</v>
      </c>
      <c r="F315" t="inlineStr">
        <is>
          <t>KALMAR LÄN</t>
        </is>
      </c>
      <c r="G315" t="inlineStr">
        <is>
          <t>HULTSFRED</t>
        </is>
      </c>
      <c r="I315" t="n">
        <v>4.5</v>
      </c>
      <c r="J315" t="n">
        <v>0</v>
      </c>
      <c r="K315" t="n">
        <v>0</v>
      </c>
      <c r="L315" t="n">
        <v>0</v>
      </c>
      <c r="M315" t="n">
        <v>0</v>
      </c>
      <c r="N315" t="n">
        <v>0</v>
      </c>
      <c r="O315" t="n">
        <v>0</v>
      </c>
      <c r="P315" t="n">
        <v>0</v>
      </c>
      <c r="Q315" t="n">
        <v>0</v>
      </c>
      <c r="R315" t="n">
        <v>0</v>
      </c>
      <c r="S315" t="n">
        <v>0</v>
      </c>
      <c r="T315" t="n">
        <v>0</v>
      </c>
      <c r="U315" s="2" t="inlineStr"/>
    </row>
    <row r="316" ht="15" customHeight="1">
      <c r="A316" t="inlineStr">
        <is>
          <t>A 31783-2025</t>
        </is>
      </c>
      <c r="B316" t="inlineStr">
        <is>
          <t>avverkningsanmälan</t>
        </is>
      </c>
      <c r="C316" t="inlineStr">
        <is>
          <t>Föryngringsavverkning</t>
        </is>
      </c>
      <c r="D316" s="1" t="n">
        <v>45834</v>
      </c>
      <c r="E316" s="1" t="n">
        <v>46217</v>
      </c>
      <c r="F316" t="inlineStr">
        <is>
          <t>KALMAR LÄN</t>
        </is>
      </c>
      <c r="G316" t="inlineStr">
        <is>
          <t>HULTSFRED</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61509-2024</t>
        </is>
      </c>
      <c r="B317" t="inlineStr">
        <is>
          <t>avverkningsanmälan</t>
        </is>
      </c>
      <c r="C317" t="inlineStr">
        <is>
          <t>Föryngringsavverkning</t>
        </is>
      </c>
      <c r="D317" s="1" t="n">
        <v>45646</v>
      </c>
      <c r="E317" s="1" t="n">
        <v>46217</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43037-2025</t>
        </is>
      </c>
      <c r="B318" t="inlineStr">
        <is>
          <t>avverkningsanmälan</t>
        </is>
      </c>
      <c r="C318" t="inlineStr">
        <is>
          <t>Föryngringsavverkning</t>
        </is>
      </c>
      <c r="D318" s="1" t="n">
        <v>45909</v>
      </c>
      <c r="E318" s="1" t="n">
        <v>46217</v>
      </c>
      <c r="F318" t="inlineStr">
        <is>
          <t>KALMAR LÄN</t>
        </is>
      </c>
      <c r="G318" t="inlineStr">
        <is>
          <t>HULTSFRED</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55501-2023</t>
        </is>
      </c>
      <c r="B319" t="inlineStr">
        <is>
          <t>avverkningsanmälan</t>
        </is>
      </c>
      <c r="C319" t="inlineStr">
        <is>
          <t>Föryngringsavverkning</t>
        </is>
      </c>
      <c r="D319" s="1" t="n">
        <v>45238</v>
      </c>
      <c r="E319" s="1" t="n">
        <v>46217</v>
      </c>
      <c r="F319" t="inlineStr">
        <is>
          <t>KALMAR LÄN</t>
        </is>
      </c>
      <c r="G319" t="inlineStr">
        <is>
          <t>HULTSFRED</t>
        </is>
      </c>
      <c r="H319" t="inlineStr">
        <is>
          <t>Kyrkan</t>
        </is>
      </c>
      <c r="I319" t="n">
        <v>2.9</v>
      </c>
      <c r="J319" t="n">
        <v>0</v>
      </c>
      <c r="K319" t="n">
        <v>0</v>
      </c>
      <c r="L319" t="n">
        <v>0</v>
      </c>
      <c r="M319" t="n">
        <v>0</v>
      </c>
      <c r="N319" t="n">
        <v>0</v>
      </c>
      <c r="O319" t="n">
        <v>0</v>
      </c>
      <c r="P319" t="n">
        <v>0</v>
      </c>
      <c r="Q319" t="n">
        <v>0</v>
      </c>
      <c r="R319" t="n">
        <v>0</v>
      </c>
      <c r="S319" t="n">
        <v>0</v>
      </c>
      <c r="T319" t="n">
        <v>0</v>
      </c>
      <c r="U319" s="2" t="inlineStr"/>
    </row>
    <row r="320" ht="15" customHeight="1">
      <c r="A320" t="inlineStr">
        <is>
          <t>A 43034-2025</t>
        </is>
      </c>
      <c r="B320" t="inlineStr">
        <is>
          <t>avverkningsanmälan</t>
        </is>
      </c>
      <c r="C320" t="inlineStr">
        <is>
          <t>Föryngringsavverkning</t>
        </is>
      </c>
      <c r="D320" s="1" t="n">
        <v>45909</v>
      </c>
      <c r="E320" s="1" t="n">
        <v>46217</v>
      </c>
      <c r="F320" t="inlineStr">
        <is>
          <t>KALMAR LÄN</t>
        </is>
      </c>
      <c r="G320" t="inlineStr">
        <is>
          <t>HULTSFRED</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43044-2025</t>
        </is>
      </c>
      <c r="B321" t="inlineStr">
        <is>
          <t>avverkningsanmälan</t>
        </is>
      </c>
      <c r="C321" t="inlineStr">
        <is>
          <t>Föryngringsavverkning</t>
        </is>
      </c>
      <c r="D321" s="1" t="n">
        <v>45909</v>
      </c>
      <c r="E321" s="1" t="n">
        <v>46217</v>
      </c>
      <c r="F321" t="inlineStr">
        <is>
          <t>KALMAR LÄN</t>
        </is>
      </c>
      <c r="G321" t="inlineStr">
        <is>
          <t>HULTSFRED</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32118-2024</t>
        </is>
      </c>
      <c r="B322" t="inlineStr">
        <is>
          <t>avverkningsanmälan</t>
        </is>
      </c>
      <c r="C322" t="inlineStr">
        <is>
          <t>Föryngringsavverkning</t>
        </is>
      </c>
      <c r="D322" s="1" t="n">
        <v>45511</v>
      </c>
      <c r="E322" s="1" t="n">
        <v>46217</v>
      </c>
      <c r="F322" t="inlineStr">
        <is>
          <t>KALMAR LÄN</t>
        </is>
      </c>
      <c r="G322" t="inlineStr">
        <is>
          <t>HULTSFRED</t>
        </is>
      </c>
      <c r="I322" t="n">
        <v>4.2</v>
      </c>
      <c r="J322" t="n">
        <v>0</v>
      </c>
      <c r="K322" t="n">
        <v>0</v>
      </c>
      <c r="L322" t="n">
        <v>0</v>
      </c>
      <c r="M322" t="n">
        <v>0</v>
      </c>
      <c r="N322" t="n">
        <v>0</v>
      </c>
      <c r="O322" t="n">
        <v>0</v>
      </c>
      <c r="P322" t="n">
        <v>0</v>
      </c>
      <c r="Q322" t="n">
        <v>0</v>
      </c>
      <c r="R322" t="n">
        <v>0</v>
      </c>
      <c r="S322" t="n">
        <v>0</v>
      </c>
      <c r="T322" t="n">
        <v>0</v>
      </c>
      <c r="U322" s="2" t="inlineStr"/>
    </row>
    <row r="323" ht="15" customHeight="1">
      <c r="A323" t="inlineStr">
        <is>
          <t>A 7210-2025</t>
        </is>
      </c>
      <c r="B323" t="inlineStr">
        <is>
          <t>avverkningsanmälan</t>
        </is>
      </c>
      <c r="C323" t="inlineStr">
        <is>
          <t>Föryngringsavverkning</t>
        </is>
      </c>
      <c r="D323" s="1" t="n">
        <v>45702</v>
      </c>
      <c r="E323" s="1" t="n">
        <v>46217</v>
      </c>
      <c r="F323" t="inlineStr">
        <is>
          <t>KALMAR LÄN</t>
        </is>
      </c>
      <c r="G323" t="inlineStr">
        <is>
          <t>HULTSFRED</t>
        </is>
      </c>
      <c r="H323" t="inlineStr">
        <is>
          <t>Sveaskog</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12390-2023</t>
        </is>
      </c>
      <c r="B324" t="inlineStr">
        <is>
          <t>avverkningsanmälan</t>
        </is>
      </c>
      <c r="C324" t="inlineStr">
        <is>
          <t>Föryngringsavverkning</t>
        </is>
      </c>
      <c r="D324" s="1" t="n">
        <v>44999</v>
      </c>
      <c r="E324" s="1" t="n">
        <v>46217</v>
      </c>
      <c r="F324" t="inlineStr">
        <is>
          <t>KALMAR LÄN</t>
        </is>
      </c>
      <c r="G324" t="inlineStr">
        <is>
          <t>HULTSFRED</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49881-2025</t>
        </is>
      </c>
      <c r="B325" t="inlineStr">
        <is>
          <t>avverkningsanmälan</t>
        </is>
      </c>
      <c r="C325" t="inlineStr">
        <is>
          <t>Föryngringsavverkning</t>
        </is>
      </c>
      <c r="D325" s="1" t="n">
        <v>45940</v>
      </c>
      <c r="E325" s="1" t="n">
        <v>46217</v>
      </c>
      <c r="F325" t="inlineStr">
        <is>
          <t>KALMAR LÄN</t>
        </is>
      </c>
      <c r="G325" t="inlineStr">
        <is>
          <t>HULTSFRED</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23847-2024</t>
        </is>
      </c>
      <c r="B326" t="inlineStr">
        <is>
          <t>avverkningsanmälan</t>
        </is>
      </c>
      <c r="C326" t="inlineStr">
        <is>
          <t>Föryngringsavverkning</t>
        </is>
      </c>
      <c r="D326" s="1" t="n">
        <v>45455</v>
      </c>
      <c r="E326" s="1" t="n">
        <v>46217</v>
      </c>
      <c r="F326" t="inlineStr">
        <is>
          <t>KALMAR LÄN</t>
        </is>
      </c>
      <c r="G326" t="inlineStr">
        <is>
          <t>HULTSFRED</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44399-2025</t>
        </is>
      </c>
      <c r="B327" t="inlineStr">
        <is>
          <t>avverkningsanmälan</t>
        </is>
      </c>
      <c r="C327" t="inlineStr">
        <is>
          <t>Föryngringsavverkning</t>
        </is>
      </c>
      <c r="D327" s="1" t="n">
        <v>45916</v>
      </c>
      <c r="E327" s="1" t="n">
        <v>46217</v>
      </c>
      <c r="F327" t="inlineStr">
        <is>
          <t>KALMAR LÄN</t>
        </is>
      </c>
      <c r="G327" t="inlineStr">
        <is>
          <t>HULTSFRED</t>
        </is>
      </c>
      <c r="I327" t="n">
        <v>7.4</v>
      </c>
      <c r="J327" t="n">
        <v>0</v>
      </c>
      <c r="K327" t="n">
        <v>0</v>
      </c>
      <c r="L327" t="n">
        <v>0</v>
      </c>
      <c r="M327" t="n">
        <v>0</v>
      </c>
      <c r="N327" t="n">
        <v>0</v>
      </c>
      <c r="O327" t="n">
        <v>0</v>
      </c>
      <c r="P327" t="n">
        <v>0</v>
      </c>
      <c r="Q327" t="n">
        <v>0</v>
      </c>
      <c r="R327" t="n">
        <v>0</v>
      </c>
      <c r="S327" t="n">
        <v>0</v>
      </c>
      <c r="T327" t="n">
        <v>0</v>
      </c>
      <c r="U327" s="2" t="inlineStr"/>
    </row>
    <row r="328" ht="15" customHeight="1">
      <c r="A328" t="inlineStr">
        <is>
          <t>A 43560-2023</t>
        </is>
      </c>
      <c r="B328" t="inlineStr">
        <is>
          <t>avverkningsanmälan</t>
        </is>
      </c>
      <c r="C328" t="inlineStr">
        <is>
          <t>Föryngringsavverkning</t>
        </is>
      </c>
      <c r="D328" s="1" t="n">
        <v>45184</v>
      </c>
      <c r="E328" s="1" t="n">
        <v>46217</v>
      </c>
      <c r="F328" t="inlineStr">
        <is>
          <t>KALMAR LÄN</t>
        </is>
      </c>
      <c r="G328" t="inlineStr">
        <is>
          <t>HULTSFRED</t>
        </is>
      </c>
      <c r="I328" t="n">
        <v>10.2</v>
      </c>
      <c r="J328" t="n">
        <v>0</v>
      </c>
      <c r="K328" t="n">
        <v>0</v>
      </c>
      <c r="L328" t="n">
        <v>0</v>
      </c>
      <c r="M328" t="n">
        <v>0</v>
      </c>
      <c r="N328" t="n">
        <v>0</v>
      </c>
      <c r="O328" t="n">
        <v>0</v>
      </c>
      <c r="P328" t="n">
        <v>0</v>
      </c>
      <c r="Q328" t="n">
        <v>0</v>
      </c>
      <c r="R328" t="n">
        <v>0</v>
      </c>
      <c r="S328" t="n">
        <v>0</v>
      </c>
      <c r="T328" t="n">
        <v>0</v>
      </c>
      <c r="U328" s="2" t="inlineStr"/>
    </row>
    <row r="329" ht="15" customHeight="1">
      <c r="A329" t="inlineStr">
        <is>
          <t>A 43632-2023</t>
        </is>
      </c>
      <c r="B329" t="inlineStr">
        <is>
          <t>avverkningsanmälan</t>
        </is>
      </c>
      <c r="C329" t="inlineStr">
        <is>
          <t>Föryngringsavverkning</t>
        </is>
      </c>
      <c r="D329" s="1" t="n">
        <v>45185</v>
      </c>
      <c r="E329" s="1" t="n">
        <v>46217</v>
      </c>
      <c r="F329" t="inlineStr">
        <is>
          <t>KALMAR LÄN</t>
        </is>
      </c>
      <c r="G329" t="inlineStr">
        <is>
          <t>HULTSFRED</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8930-2022</t>
        </is>
      </c>
      <c r="B330" t="inlineStr">
        <is>
          <t>avverkningsanmälan</t>
        </is>
      </c>
      <c r="C330" t="inlineStr">
        <is>
          <t>Föryngringsavverkning</t>
        </is>
      </c>
      <c r="D330" s="1" t="n">
        <v>44614</v>
      </c>
      <c r="E330" s="1" t="n">
        <v>46217</v>
      </c>
      <c r="F330" t="inlineStr">
        <is>
          <t>KALMAR LÄN</t>
        </is>
      </c>
      <c r="G330" t="inlineStr">
        <is>
          <t>HULTSFRED</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45824-2025</t>
        </is>
      </c>
      <c r="B331" t="inlineStr">
        <is>
          <t>avverkningsanmälan</t>
        </is>
      </c>
      <c r="C331" t="inlineStr">
        <is>
          <t>Föryngringsavverkning</t>
        </is>
      </c>
      <c r="D331" s="1" t="n">
        <v>45923</v>
      </c>
      <c r="E331" s="1" t="n">
        <v>46217</v>
      </c>
      <c r="F331" t="inlineStr">
        <is>
          <t>KALMAR LÄN</t>
        </is>
      </c>
      <c r="G331" t="inlineStr">
        <is>
          <t>HULTSFRED</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68102-2021</t>
        </is>
      </c>
      <c r="B332" t="inlineStr">
        <is>
          <t>avverkningsanmälan</t>
        </is>
      </c>
      <c r="C332" t="inlineStr">
        <is>
          <t>Föryngringsavverkning</t>
        </is>
      </c>
      <c r="D332" s="1" t="n">
        <v>44526</v>
      </c>
      <c r="E332" s="1" t="n">
        <v>46217</v>
      </c>
      <c r="F332" t="inlineStr">
        <is>
          <t>KALMAR LÄN</t>
        </is>
      </c>
      <c r="G332" t="inlineStr">
        <is>
          <t>HULTSFRED</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26074-2026</t>
        </is>
      </c>
      <c r="B333" t="inlineStr">
        <is>
          <t>avverkningsanmälan</t>
        </is>
      </c>
      <c r="C333" t="inlineStr">
        <is>
          <t>Föryngringsavverkning</t>
        </is>
      </c>
      <c r="D333" s="1" t="n">
        <v>46181</v>
      </c>
      <c r="E333" s="1" t="n">
        <v>46217</v>
      </c>
      <c r="F333" t="inlineStr">
        <is>
          <t>KALMAR LÄN</t>
        </is>
      </c>
      <c r="G333" t="inlineStr">
        <is>
          <t>HULTSFRED</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45934-2025</t>
        </is>
      </c>
      <c r="B334" t="inlineStr">
        <is>
          <t>avverkningsanmälan</t>
        </is>
      </c>
      <c r="C334" t="inlineStr">
        <is>
          <t>Föryngringsavverkning</t>
        </is>
      </c>
      <c r="D334" s="1" t="n">
        <v>45923</v>
      </c>
      <c r="E334" s="1" t="n">
        <v>46217</v>
      </c>
      <c r="F334" t="inlineStr">
        <is>
          <t>KALMAR LÄN</t>
        </is>
      </c>
      <c r="G334" t="inlineStr">
        <is>
          <t>HULTSFRED</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26329-2026</t>
        </is>
      </c>
      <c r="B335" t="inlineStr">
        <is>
          <t>avverkningsanmälan</t>
        </is>
      </c>
      <c r="C335" t="inlineStr">
        <is>
          <t>Föryngringsavverkning</t>
        </is>
      </c>
      <c r="D335" s="1" t="n">
        <v>46182</v>
      </c>
      <c r="E335" s="1" t="n">
        <v>46217</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46032-2025</t>
        </is>
      </c>
      <c r="B336" t="inlineStr">
        <is>
          <t>avverkningsanmälan</t>
        </is>
      </c>
      <c r="C336" t="inlineStr">
        <is>
          <t>Föryngringsavverkning</t>
        </is>
      </c>
      <c r="D336" s="1" t="n">
        <v>45924</v>
      </c>
      <c r="E336" s="1" t="n">
        <v>46217</v>
      </c>
      <c r="F336" t="inlineStr">
        <is>
          <t>KALMAR LÄN</t>
        </is>
      </c>
      <c r="G336" t="inlineStr">
        <is>
          <t>HULTSFRED</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45727-2025</t>
        </is>
      </c>
      <c r="B337" t="inlineStr">
        <is>
          <t>avverkningsanmälan</t>
        </is>
      </c>
      <c r="C337" t="inlineStr">
        <is>
          <t>Föryngringsavverkning</t>
        </is>
      </c>
      <c r="D337" s="1" t="n">
        <v>45923</v>
      </c>
      <c r="E337" s="1" t="n">
        <v>46217</v>
      </c>
      <c r="F337" t="inlineStr">
        <is>
          <t>KALMAR LÄN</t>
        </is>
      </c>
      <c r="G337" t="inlineStr">
        <is>
          <t>HULTSFRED</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46439-2025</t>
        </is>
      </c>
      <c r="B338" t="inlineStr">
        <is>
          <t>avverkningsanmälan</t>
        </is>
      </c>
      <c r="C338" t="inlineStr">
        <is>
          <t>Föryngringsavverkning</t>
        </is>
      </c>
      <c r="D338" s="1" t="n">
        <v>45925</v>
      </c>
      <c r="E338" s="1" t="n">
        <v>46217</v>
      </c>
      <c r="F338" t="inlineStr">
        <is>
          <t>KALMAR LÄN</t>
        </is>
      </c>
      <c r="G338" t="inlineStr">
        <is>
          <t>HULTSFRED</t>
        </is>
      </c>
      <c r="H338" t="inlineStr">
        <is>
          <t>Övriga Aktiebolag</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46563-2025</t>
        </is>
      </c>
      <c r="B339" t="inlineStr">
        <is>
          <t>avverkningsanmälan</t>
        </is>
      </c>
      <c r="C339" t="inlineStr">
        <is>
          <t>Föryngringsavverkning</t>
        </is>
      </c>
      <c r="D339" s="1" t="n">
        <v>45926</v>
      </c>
      <c r="E339" s="1" t="n">
        <v>46217</v>
      </c>
      <c r="F339" t="inlineStr">
        <is>
          <t>KALMAR LÄN</t>
        </is>
      </c>
      <c r="G339" t="inlineStr">
        <is>
          <t>HULTSFRED</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36187-2023</t>
        </is>
      </c>
      <c r="B340" t="inlineStr">
        <is>
          <t>avverkningsanmälan</t>
        </is>
      </c>
      <c r="C340" t="inlineStr">
        <is>
          <t>Föryngringsavverkning</t>
        </is>
      </c>
      <c r="D340" s="1" t="n">
        <v>45149</v>
      </c>
      <c r="E340" s="1" t="n">
        <v>46217</v>
      </c>
      <c r="F340" t="inlineStr">
        <is>
          <t>KALMAR LÄN</t>
        </is>
      </c>
      <c r="G340" t="inlineStr">
        <is>
          <t>HULTSFRED</t>
        </is>
      </c>
      <c r="I340" t="n">
        <v>4.9</v>
      </c>
      <c r="J340" t="n">
        <v>0</v>
      </c>
      <c r="K340" t="n">
        <v>0</v>
      </c>
      <c r="L340" t="n">
        <v>0</v>
      </c>
      <c r="M340" t="n">
        <v>0</v>
      </c>
      <c r="N340" t="n">
        <v>0</v>
      </c>
      <c r="O340" t="n">
        <v>0</v>
      </c>
      <c r="P340" t="n">
        <v>0</v>
      </c>
      <c r="Q340" t="n">
        <v>0</v>
      </c>
      <c r="R340" t="n">
        <v>0</v>
      </c>
      <c r="S340" t="n">
        <v>0</v>
      </c>
      <c r="T340" t="n">
        <v>0</v>
      </c>
      <c r="U340" s="2" t="inlineStr"/>
    </row>
    <row r="341" ht="15" customHeight="1">
      <c r="A341" t="inlineStr">
        <is>
          <t>A 46443-2025</t>
        </is>
      </c>
      <c r="B341" t="inlineStr">
        <is>
          <t>avverkningsanmälan</t>
        </is>
      </c>
      <c r="C341" t="inlineStr">
        <is>
          <t>Föryngringsavverkning</t>
        </is>
      </c>
      <c r="D341" s="1" t="n">
        <v>45925</v>
      </c>
      <c r="E341" s="1" t="n">
        <v>46217</v>
      </c>
      <c r="F341" t="inlineStr">
        <is>
          <t>KALMAR LÄN</t>
        </is>
      </c>
      <c r="G341" t="inlineStr">
        <is>
          <t>HULTSFRED</t>
        </is>
      </c>
      <c r="H341" t="inlineStr">
        <is>
          <t>Övriga Aktiebolag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46446-2025</t>
        </is>
      </c>
      <c r="B342" t="inlineStr">
        <is>
          <t>avverkningsanmälan</t>
        </is>
      </c>
      <c r="C342" t="inlineStr">
        <is>
          <t>Föryngringsavverkning</t>
        </is>
      </c>
      <c r="D342" s="1" t="n">
        <v>45925</v>
      </c>
      <c r="E342" s="1" t="n">
        <v>46217</v>
      </c>
      <c r="F342" t="inlineStr">
        <is>
          <t>KALMAR LÄN</t>
        </is>
      </c>
      <c r="G342" t="inlineStr">
        <is>
          <t>HULTSFRED</t>
        </is>
      </c>
      <c r="H342" t="inlineStr">
        <is>
          <t>Övriga Aktiebolag</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46448-2025</t>
        </is>
      </c>
      <c r="B343" t="inlineStr">
        <is>
          <t>avverkningsanmälan</t>
        </is>
      </c>
      <c r="C343" t="inlineStr">
        <is>
          <t>Föryngringsavverkning</t>
        </is>
      </c>
      <c r="D343" s="1" t="n">
        <v>45925</v>
      </c>
      <c r="E343" s="1" t="n">
        <v>46217</v>
      </c>
      <c r="F343" t="inlineStr">
        <is>
          <t>KALMAR LÄN</t>
        </is>
      </c>
      <c r="G343" t="inlineStr">
        <is>
          <t>HULTSFRED</t>
        </is>
      </c>
      <c r="H343" t="inlineStr">
        <is>
          <t>Övriga Aktiebolag</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46449-2025</t>
        </is>
      </c>
      <c r="B344" t="inlineStr">
        <is>
          <t>avverkningsanmälan</t>
        </is>
      </c>
      <c r="C344" t="inlineStr">
        <is>
          <t>Föryngringsavverkning</t>
        </is>
      </c>
      <c r="D344" s="1" t="n">
        <v>45925</v>
      </c>
      <c r="E344" s="1" t="n">
        <v>46217</v>
      </c>
      <c r="F344" t="inlineStr">
        <is>
          <t>KALMAR LÄN</t>
        </is>
      </c>
      <c r="G344" t="inlineStr">
        <is>
          <t>HULTSFRED</t>
        </is>
      </c>
      <c r="H344" t="inlineStr">
        <is>
          <t>Övriga Aktiebolag</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8876-2025</t>
        </is>
      </c>
      <c r="B345" t="inlineStr">
        <is>
          <t>avverkningsanmälan</t>
        </is>
      </c>
      <c r="C345" t="inlineStr">
        <is>
          <t>Föryngringsavverkning</t>
        </is>
      </c>
      <c r="D345" s="1" t="n">
        <v>45713</v>
      </c>
      <c r="E345" s="1" t="n">
        <v>46217</v>
      </c>
      <c r="F345" t="inlineStr">
        <is>
          <t>KALMAR LÄN</t>
        </is>
      </c>
      <c r="G345" t="inlineStr">
        <is>
          <t>HULTSFRED</t>
        </is>
      </c>
      <c r="H345" t="inlineStr">
        <is>
          <t>Sveaskog</t>
        </is>
      </c>
      <c r="I345" t="n">
        <v>7.7</v>
      </c>
      <c r="J345" t="n">
        <v>0</v>
      </c>
      <c r="K345" t="n">
        <v>0</v>
      </c>
      <c r="L345" t="n">
        <v>0</v>
      </c>
      <c r="M345" t="n">
        <v>0</v>
      </c>
      <c r="N345" t="n">
        <v>0</v>
      </c>
      <c r="O345" t="n">
        <v>0</v>
      </c>
      <c r="P345" t="n">
        <v>0</v>
      </c>
      <c r="Q345" t="n">
        <v>0</v>
      </c>
      <c r="R345" t="n">
        <v>0</v>
      </c>
      <c r="S345" t="n">
        <v>0</v>
      </c>
      <c r="T345" t="n">
        <v>0</v>
      </c>
      <c r="U345" s="2" t="inlineStr"/>
    </row>
    <row r="346" ht="15" customHeight="1">
      <c r="A346" t="inlineStr">
        <is>
          <t>A 46444-2025</t>
        </is>
      </c>
      <c r="B346" t="inlineStr">
        <is>
          <t>avverkningsanmälan</t>
        </is>
      </c>
      <c r="C346" t="inlineStr">
        <is>
          <t>Föryngringsavverkning</t>
        </is>
      </c>
      <c r="D346" s="1" t="n">
        <v>45925</v>
      </c>
      <c r="E346" s="1" t="n">
        <v>46217</v>
      </c>
      <c r="F346" t="inlineStr">
        <is>
          <t>KALMAR LÄN</t>
        </is>
      </c>
      <c r="G346" t="inlineStr">
        <is>
          <t>HULTSFRED</t>
        </is>
      </c>
      <c r="H346" t="inlineStr">
        <is>
          <t>Övriga Aktiebolag</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47040-2025</t>
        </is>
      </c>
      <c r="B347" t="inlineStr">
        <is>
          <t>avverkningsanmälan</t>
        </is>
      </c>
      <c r="C347" t="inlineStr">
        <is>
          <t>Föryngringsavverkning</t>
        </is>
      </c>
      <c r="D347" s="1" t="n">
        <v>45929</v>
      </c>
      <c r="E347" s="1" t="n">
        <v>46217</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47042-2025</t>
        </is>
      </c>
      <c r="B348" t="inlineStr">
        <is>
          <t>avverkningsanmälan</t>
        </is>
      </c>
      <c r="C348" t="inlineStr">
        <is>
          <t>Föryngringsavverkning</t>
        </is>
      </c>
      <c r="D348" s="1" t="n">
        <v>45929</v>
      </c>
      <c r="E348" s="1" t="n">
        <v>46217</v>
      </c>
      <c r="F348" t="inlineStr">
        <is>
          <t>KALMAR LÄN</t>
        </is>
      </c>
      <c r="G348" t="inlineStr">
        <is>
          <t>HULTSFRED</t>
        </is>
      </c>
      <c r="H348" t="inlineStr">
        <is>
          <t>Övriga Aktiebolag</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47033-2025</t>
        </is>
      </c>
      <c r="B349" t="inlineStr">
        <is>
          <t>avverkningsanmälan</t>
        </is>
      </c>
      <c r="C349" t="inlineStr">
        <is>
          <t>Föryngringsavverkning</t>
        </is>
      </c>
      <c r="D349" s="1" t="n">
        <v>45929</v>
      </c>
      <c r="E349" s="1" t="n">
        <v>46217</v>
      </c>
      <c r="F349" t="inlineStr">
        <is>
          <t>KALMAR LÄN</t>
        </is>
      </c>
      <c r="G349" t="inlineStr">
        <is>
          <t>HULTSFRED</t>
        </is>
      </c>
      <c r="H349" t="inlineStr">
        <is>
          <t>Övriga Aktiebolag</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47041-2025</t>
        </is>
      </c>
      <c r="B350" t="inlineStr">
        <is>
          <t>avverkningsanmälan</t>
        </is>
      </c>
      <c r="C350" t="inlineStr">
        <is>
          <t>Föryngringsavverkning</t>
        </is>
      </c>
      <c r="D350" s="1" t="n">
        <v>45929</v>
      </c>
      <c r="E350" s="1" t="n">
        <v>46217</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47045-2025</t>
        </is>
      </c>
      <c r="B351" t="inlineStr">
        <is>
          <t>avverkningsanmälan</t>
        </is>
      </c>
      <c r="C351" t="inlineStr">
        <is>
          <t>Föryngringsavverkning</t>
        </is>
      </c>
      <c r="D351" s="1" t="n">
        <v>45929</v>
      </c>
      <c r="E351" s="1" t="n">
        <v>46217</v>
      </c>
      <c r="F351" t="inlineStr">
        <is>
          <t>KALMAR LÄN</t>
        </is>
      </c>
      <c r="G351" t="inlineStr">
        <is>
          <t>HULTSFRED</t>
        </is>
      </c>
      <c r="H351" t="inlineStr">
        <is>
          <t>Övriga Aktiebolag</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25995-2026</t>
        </is>
      </c>
      <c r="B352" t="inlineStr">
        <is>
          <t>avverkningsanmälan</t>
        </is>
      </c>
      <c r="C352" t="inlineStr">
        <is>
          <t>Föryngringsavverkning</t>
        </is>
      </c>
      <c r="D352" s="1" t="n">
        <v>46181</v>
      </c>
      <c r="E352" s="1" t="n">
        <v>46217</v>
      </c>
      <c r="F352" t="inlineStr">
        <is>
          <t>KALMAR LÄN</t>
        </is>
      </c>
      <c r="G352" t="inlineStr">
        <is>
          <t>HULTSFRED</t>
        </is>
      </c>
      <c r="I352" t="n">
        <v>2.7</v>
      </c>
      <c r="J352" t="n">
        <v>0</v>
      </c>
      <c r="K352" t="n">
        <v>0</v>
      </c>
      <c r="L352" t="n">
        <v>0</v>
      </c>
      <c r="M352" t="n">
        <v>0</v>
      </c>
      <c r="N352" t="n">
        <v>0</v>
      </c>
      <c r="O352" t="n">
        <v>0</v>
      </c>
      <c r="P352" t="n">
        <v>0</v>
      </c>
      <c r="Q352" t="n">
        <v>0</v>
      </c>
      <c r="R352" t="n">
        <v>0</v>
      </c>
      <c r="S352" t="n">
        <v>0</v>
      </c>
      <c r="T352" t="n">
        <v>0</v>
      </c>
      <c r="U352" s="2" t="inlineStr"/>
    </row>
    <row r="353" ht="15" customHeight="1">
      <c r="A353" t="inlineStr">
        <is>
          <t>A 26339-2026</t>
        </is>
      </c>
      <c r="B353" t="inlineStr">
        <is>
          <t>avverkningsanmälan</t>
        </is>
      </c>
      <c r="C353" t="inlineStr">
        <is>
          <t>Föryngringsavverkning</t>
        </is>
      </c>
      <c r="D353" s="1" t="n">
        <v>46182</v>
      </c>
      <c r="E353" s="1" t="n">
        <v>46217</v>
      </c>
      <c r="F353" t="inlineStr">
        <is>
          <t>KALMAR LÄN</t>
        </is>
      </c>
      <c r="G353" t="inlineStr">
        <is>
          <t>HULTSFRED</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19117-2024</t>
        </is>
      </c>
      <c r="B354" t="inlineStr">
        <is>
          <t>avverkningsanmälan</t>
        </is>
      </c>
      <c r="C354" t="inlineStr">
        <is>
          <t>Föryngringsavverkning</t>
        </is>
      </c>
      <c r="D354" s="1" t="n">
        <v>45427</v>
      </c>
      <c r="E354" s="1" t="n">
        <v>46217</v>
      </c>
      <c r="F354" t="inlineStr">
        <is>
          <t>KALMAR LÄN</t>
        </is>
      </c>
      <c r="G354" t="inlineStr">
        <is>
          <t>HULTSFRED</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10966-2023</t>
        </is>
      </c>
      <c r="B355" t="inlineStr">
        <is>
          <t>avverkningsanmälan</t>
        </is>
      </c>
      <c r="C355" t="inlineStr">
        <is>
          <t>Föryngringsavverkning</t>
        </is>
      </c>
      <c r="D355" s="1" t="n">
        <v>44991</v>
      </c>
      <c r="E355" s="1" t="n">
        <v>46217</v>
      </c>
      <c r="F355" t="inlineStr">
        <is>
          <t>KALMAR LÄN</t>
        </is>
      </c>
      <c r="G355" t="inlineStr">
        <is>
          <t>HULTSFRED</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21758-2024</t>
        </is>
      </c>
      <c r="B356" t="inlineStr">
        <is>
          <t>avverkningsanmälan</t>
        </is>
      </c>
      <c r="C356" t="inlineStr">
        <is>
          <t>Föryngringsavverkning</t>
        </is>
      </c>
      <c r="D356" s="1" t="n">
        <v>45442</v>
      </c>
      <c r="E356" s="1" t="n">
        <v>46217</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s="2" t="inlineStr"/>
    </row>
    <row r="357" ht="15" customHeight="1">
      <c r="A357" t="inlineStr">
        <is>
          <t>A 52691-2023</t>
        </is>
      </c>
      <c r="B357" t="inlineStr">
        <is>
          <t>avverkningsanmälan</t>
        </is>
      </c>
      <c r="C357" t="inlineStr">
        <is>
          <t>Föryngringsavverkning</t>
        </is>
      </c>
      <c r="D357" s="1" t="n">
        <v>45225</v>
      </c>
      <c r="E357" s="1" t="n">
        <v>46217</v>
      </c>
      <c r="F357" t="inlineStr">
        <is>
          <t>KALMAR LÄN</t>
        </is>
      </c>
      <c r="G357" t="inlineStr">
        <is>
          <t>HULTSFRED</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48693-2025</t>
        </is>
      </c>
      <c r="B358" t="inlineStr">
        <is>
          <t>avverkningsanmälan</t>
        </is>
      </c>
      <c r="C358" t="inlineStr">
        <is>
          <t>Föryngringsavverkning</t>
        </is>
      </c>
      <c r="D358" s="1" t="n">
        <v>45936</v>
      </c>
      <c r="E358" s="1" t="n">
        <v>46217</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28270-2024</t>
        </is>
      </c>
      <c r="B359" t="inlineStr">
        <is>
          <t>avverkningsanmälan</t>
        </is>
      </c>
      <c r="C359" t="inlineStr">
        <is>
          <t>Föryngringsavverkning</t>
        </is>
      </c>
      <c r="D359" s="1" t="n">
        <v>45477</v>
      </c>
      <c r="E359" s="1" t="n">
        <v>46217</v>
      </c>
      <c r="F359" t="inlineStr">
        <is>
          <t>KALMAR LÄN</t>
        </is>
      </c>
      <c r="G359" t="inlineStr">
        <is>
          <t>HULTSFRED</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48698-2025</t>
        </is>
      </c>
      <c r="B360" t="inlineStr">
        <is>
          <t>avverkningsanmälan</t>
        </is>
      </c>
      <c r="C360" t="inlineStr">
        <is>
          <t>Föryngringsavverkning</t>
        </is>
      </c>
      <c r="D360" s="1" t="n">
        <v>45936</v>
      </c>
      <c r="E360" s="1" t="n">
        <v>46217</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30281-2025</t>
        </is>
      </c>
      <c r="B361" t="inlineStr">
        <is>
          <t>avverkningsanmälan</t>
        </is>
      </c>
      <c r="C361" t="inlineStr">
        <is>
          <t>Föryngringsavverkning</t>
        </is>
      </c>
      <c r="D361" s="1" t="n">
        <v>45827</v>
      </c>
      <c r="E361" s="1" t="n">
        <v>46217</v>
      </c>
      <c r="F361" t="inlineStr">
        <is>
          <t>KALMAR LÄN</t>
        </is>
      </c>
      <c r="G361" t="inlineStr">
        <is>
          <t>HULTSFRED</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13864-2024</t>
        </is>
      </c>
      <c r="B362" t="inlineStr">
        <is>
          <t>avverkningsanmälan</t>
        </is>
      </c>
      <c r="C362" t="inlineStr">
        <is>
          <t>Föryngringsavverkning</t>
        </is>
      </c>
      <c r="D362" s="1" t="n">
        <v>45390</v>
      </c>
      <c r="E362" s="1" t="n">
        <v>46217</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13974-2023</t>
        </is>
      </c>
      <c r="B363" t="inlineStr">
        <is>
          <t>avverkningsanmälan</t>
        </is>
      </c>
      <c r="C363" t="inlineStr">
        <is>
          <t>Föryngringsavverkning</t>
        </is>
      </c>
      <c r="D363" s="1" t="n">
        <v>45008</v>
      </c>
      <c r="E363" s="1" t="n">
        <v>46217</v>
      </c>
      <c r="F363" t="inlineStr">
        <is>
          <t>KALMAR LÄN</t>
        </is>
      </c>
      <c r="G363" t="inlineStr">
        <is>
          <t>HULTSFRED</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28666-2023</t>
        </is>
      </c>
      <c r="B364" t="inlineStr">
        <is>
          <t>avverkningsanmälan</t>
        </is>
      </c>
      <c r="C364" t="inlineStr">
        <is>
          <t>Föryngringsavverkning</t>
        </is>
      </c>
      <c r="D364" s="1" t="n">
        <v>45103</v>
      </c>
      <c r="E364" s="1" t="n">
        <v>46217</v>
      </c>
      <c r="F364" t="inlineStr">
        <is>
          <t>KALMAR LÄN</t>
        </is>
      </c>
      <c r="G364" t="inlineStr">
        <is>
          <t>HULTSFRED</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39941-2023</t>
        </is>
      </c>
      <c r="B365" t="inlineStr">
        <is>
          <t>avverkningsanmälan</t>
        </is>
      </c>
      <c r="C365" t="inlineStr">
        <is>
          <t>Föryngringsavverkning</t>
        </is>
      </c>
      <c r="D365" s="1" t="n">
        <v>45168</v>
      </c>
      <c r="E365" s="1" t="n">
        <v>46217</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39977-2023</t>
        </is>
      </c>
      <c r="B366" t="inlineStr">
        <is>
          <t>avverkningsanmälan</t>
        </is>
      </c>
      <c r="C366" t="inlineStr">
        <is>
          <t>Föryngringsavverkning</t>
        </is>
      </c>
      <c r="D366" s="1" t="n">
        <v>45168</v>
      </c>
      <c r="E366" s="1" t="n">
        <v>46217</v>
      </c>
      <c r="F366" t="inlineStr">
        <is>
          <t>KALMAR LÄN</t>
        </is>
      </c>
      <c r="G366" t="inlineStr">
        <is>
          <t>HULTSFRED</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4223-2025</t>
        </is>
      </c>
      <c r="B367" t="inlineStr">
        <is>
          <t>avverkningsanmälan</t>
        </is>
      </c>
      <c r="C367" t="inlineStr">
        <is>
          <t>Föryngringsavverkning</t>
        </is>
      </c>
      <c r="D367" s="1" t="n">
        <v>45685</v>
      </c>
      <c r="E367" s="1" t="n">
        <v>46217</v>
      </c>
      <c r="F367" t="inlineStr">
        <is>
          <t>KALMAR LÄN</t>
        </is>
      </c>
      <c r="G367" t="inlineStr">
        <is>
          <t>HULTSFRED</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26308-2023</t>
        </is>
      </c>
      <c r="B368" t="inlineStr">
        <is>
          <t>avverkningsanmälan</t>
        </is>
      </c>
      <c r="C368" t="inlineStr">
        <is>
          <t>Föryngringsavverkning</t>
        </is>
      </c>
      <c r="D368" s="1" t="n">
        <v>45091</v>
      </c>
      <c r="E368" s="1" t="n">
        <v>46217</v>
      </c>
      <c r="F368" t="inlineStr">
        <is>
          <t>KALMAR LÄN</t>
        </is>
      </c>
      <c r="G368" t="inlineStr">
        <is>
          <t>HULTSFRED</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26309-2026</t>
        </is>
      </c>
      <c r="B369" t="inlineStr">
        <is>
          <t>avverkningsanmälan</t>
        </is>
      </c>
      <c r="C369" t="inlineStr">
        <is>
          <t>Avverkning för att bevara och utveckla /försöksver</t>
        </is>
      </c>
      <c r="D369" s="1" t="n">
        <v>46182</v>
      </c>
      <c r="E369" s="1" t="n">
        <v>46217</v>
      </c>
      <c r="F369" t="inlineStr">
        <is>
          <t>KALMAR LÄN</t>
        </is>
      </c>
      <c r="G369" t="inlineStr">
        <is>
          <t>HULTSFRED</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1033-2023</t>
        </is>
      </c>
      <c r="B370" t="inlineStr">
        <is>
          <t>avverkningsanmälan</t>
        </is>
      </c>
      <c r="C370" t="inlineStr">
        <is>
          <t>Föryngringsavverkning</t>
        </is>
      </c>
      <c r="D370" s="1" t="n">
        <v>44935</v>
      </c>
      <c r="E370" s="1" t="n">
        <v>46217</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45047-2023</t>
        </is>
      </c>
      <c r="B371" t="inlineStr">
        <is>
          <t>avverkningsanmälan</t>
        </is>
      </c>
      <c r="C371" t="inlineStr">
        <is>
          <t>Föryngringsavverkning</t>
        </is>
      </c>
      <c r="D371" s="1" t="n">
        <v>45191</v>
      </c>
      <c r="E371" s="1" t="n">
        <v>46217</v>
      </c>
      <c r="F371" t="inlineStr">
        <is>
          <t>KALMAR LÄN</t>
        </is>
      </c>
      <c r="G371" t="inlineStr">
        <is>
          <t>HULTSFRED</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2776-2025</t>
        </is>
      </c>
      <c r="B372" t="inlineStr">
        <is>
          <t>avverkningsanmälan</t>
        </is>
      </c>
      <c r="C372" t="inlineStr">
        <is>
          <t>Avverkning för annat ändamål</t>
        </is>
      </c>
      <c r="D372" s="1" t="n">
        <v>45677</v>
      </c>
      <c r="E372" s="1" t="n">
        <v>46217</v>
      </c>
      <c r="F372" t="inlineStr">
        <is>
          <t>KALMAR LÄN</t>
        </is>
      </c>
      <c r="G372" t="inlineStr">
        <is>
          <t>HULTSFRED</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50341-2023</t>
        </is>
      </c>
      <c r="B373" t="inlineStr">
        <is>
          <t>avverkningsanmälan</t>
        </is>
      </c>
      <c r="C373" t="inlineStr">
        <is>
          <t>Föryngringsavverkning</t>
        </is>
      </c>
      <c r="D373" s="1" t="n">
        <v>45216</v>
      </c>
      <c r="E373" s="1" t="n">
        <v>46217</v>
      </c>
      <c r="F373" t="inlineStr">
        <is>
          <t>KALMAR LÄN</t>
        </is>
      </c>
      <c r="G373" t="inlineStr">
        <is>
          <t>HULTSFRED</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56919-2022</t>
        </is>
      </c>
      <c r="B374" t="inlineStr">
        <is>
          <t>avverkningsanmälan</t>
        </is>
      </c>
      <c r="C374" t="inlineStr">
        <is>
          <t>Föryngringsavverkning</t>
        </is>
      </c>
      <c r="D374" s="1" t="n">
        <v>44894</v>
      </c>
      <c r="E374" s="1" t="n">
        <v>46217</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15636-2025</t>
        </is>
      </c>
      <c r="B375" t="inlineStr">
        <is>
          <t>avverkningsanmälan</t>
        </is>
      </c>
      <c r="C375" t="inlineStr">
        <is>
          <t>Föryngringsavverkning</t>
        </is>
      </c>
      <c r="D375" s="1" t="n">
        <v>45748</v>
      </c>
      <c r="E375" s="1" t="n">
        <v>46217</v>
      </c>
      <c r="F375" t="inlineStr">
        <is>
          <t>KALMAR LÄN</t>
        </is>
      </c>
      <c r="G375" t="inlineStr">
        <is>
          <t>HULTSFRED</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54369-2021</t>
        </is>
      </c>
      <c r="B376" t="inlineStr">
        <is>
          <t>avverkningsanmälan</t>
        </is>
      </c>
      <c r="C376" t="inlineStr">
        <is>
          <t>Föryngringsavverkning</t>
        </is>
      </c>
      <c r="D376" s="1" t="n">
        <v>44473</v>
      </c>
      <c r="E376" s="1" t="n">
        <v>46217</v>
      </c>
      <c r="F376" t="inlineStr">
        <is>
          <t>KALMAR LÄN</t>
        </is>
      </c>
      <c r="G376" t="inlineStr">
        <is>
          <t>HULTSFRED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16877-2025</t>
        </is>
      </c>
      <c r="B377" t="inlineStr">
        <is>
          <t>avverkningsanmälan</t>
        </is>
      </c>
      <c r="C377" t="inlineStr">
        <is>
          <t>Avverkning för att bevara och utveckla /försöksver</t>
        </is>
      </c>
      <c r="D377" s="1" t="n">
        <v>45755</v>
      </c>
      <c r="E377" s="1" t="n">
        <v>46217</v>
      </c>
      <c r="F377" t="inlineStr">
        <is>
          <t>KALMAR LÄN</t>
        </is>
      </c>
      <c r="G377" t="inlineStr">
        <is>
          <t>HULTSFRED</t>
        </is>
      </c>
      <c r="H377" t="inlineStr">
        <is>
          <t>Sveaskog</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16888-2025</t>
        </is>
      </c>
      <c r="B378" t="inlineStr">
        <is>
          <t>avverkningsanmälan</t>
        </is>
      </c>
      <c r="C378" t="inlineStr">
        <is>
          <t>Avverkning för att bevara och utveckla /försöksver</t>
        </is>
      </c>
      <c r="D378" s="1" t="n">
        <v>45755</v>
      </c>
      <c r="E378" s="1" t="n">
        <v>46217</v>
      </c>
      <c r="F378" t="inlineStr">
        <is>
          <t>KALMAR LÄN</t>
        </is>
      </c>
      <c r="G378" t="inlineStr">
        <is>
          <t>HULTSFRED</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16889-2025</t>
        </is>
      </c>
      <c r="B379" t="inlineStr">
        <is>
          <t>avverkningsanmälan</t>
        </is>
      </c>
      <c r="C379" t="inlineStr">
        <is>
          <t>Avverkning för att bevara och utveckla /försöksver</t>
        </is>
      </c>
      <c r="D379" s="1" t="n">
        <v>45755</v>
      </c>
      <c r="E379" s="1" t="n">
        <v>46217</v>
      </c>
      <c r="F379" t="inlineStr">
        <is>
          <t>KALMAR LÄN</t>
        </is>
      </c>
      <c r="G379" t="inlineStr">
        <is>
          <t>HULTSFRED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51052-2025</t>
        </is>
      </c>
      <c r="B380" t="inlineStr">
        <is>
          <t>avverkningsanmälan</t>
        </is>
      </c>
      <c r="C380" t="inlineStr">
        <is>
          <t>Föryngringsavverkning</t>
        </is>
      </c>
      <c r="D380" s="1" t="n">
        <v>45947</v>
      </c>
      <c r="E380" s="1" t="n">
        <v>46217</v>
      </c>
      <c r="F380" t="inlineStr">
        <is>
          <t>KALMAR LÄN</t>
        </is>
      </c>
      <c r="G380" t="inlineStr">
        <is>
          <t>HULTSFRED</t>
        </is>
      </c>
      <c r="H380" t="inlineStr">
        <is>
          <t>Kyrkan</t>
        </is>
      </c>
      <c r="I380" t="n">
        <v>9.1</v>
      </c>
      <c r="J380" t="n">
        <v>0</v>
      </c>
      <c r="K380" t="n">
        <v>0</v>
      </c>
      <c r="L380" t="n">
        <v>0</v>
      </c>
      <c r="M380" t="n">
        <v>0</v>
      </c>
      <c r="N380" t="n">
        <v>0</v>
      </c>
      <c r="O380" t="n">
        <v>0</v>
      </c>
      <c r="P380" t="n">
        <v>0</v>
      </c>
      <c r="Q380" t="n">
        <v>0</v>
      </c>
      <c r="R380" t="n">
        <v>0</v>
      </c>
      <c r="S380" t="n">
        <v>0</v>
      </c>
      <c r="T380" t="n">
        <v>0</v>
      </c>
      <c r="U380" s="2" t="inlineStr"/>
    </row>
    <row r="381" ht="15" customHeight="1">
      <c r="A381" t="inlineStr">
        <is>
          <t>A 29728-2025</t>
        </is>
      </c>
      <c r="B381" t="inlineStr">
        <is>
          <t>avverkningsanmälan</t>
        </is>
      </c>
      <c r="C381" t="inlineStr">
        <is>
          <t>Föryngringsavverkning</t>
        </is>
      </c>
      <c r="D381" s="1" t="n">
        <v>45825</v>
      </c>
      <c r="E381" s="1" t="n">
        <v>46217</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46341-2023</t>
        </is>
      </c>
      <c r="B382" t="inlineStr">
        <is>
          <t>avverkningsanmälan</t>
        </is>
      </c>
      <c r="C382" t="inlineStr">
        <is>
          <t>Föryngringsavverkning</t>
        </is>
      </c>
      <c r="D382" s="1" t="n">
        <v>45197</v>
      </c>
      <c r="E382" s="1" t="n">
        <v>46217</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46411-2023</t>
        </is>
      </c>
      <c r="B383" t="inlineStr">
        <is>
          <t>avverkningsanmälan</t>
        </is>
      </c>
      <c r="C383" t="inlineStr">
        <is>
          <t>Föryngringsavverkning</t>
        </is>
      </c>
      <c r="D383" s="1" t="n">
        <v>45194</v>
      </c>
      <c r="E383" s="1" t="n">
        <v>46217</v>
      </c>
      <c r="F383" t="inlineStr">
        <is>
          <t>KALMAR LÄN</t>
        </is>
      </c>
      <c r="G383" t="inlineStr">
        <is>
          <t>HULTSFRED</t>
        </is>
      </c>
      <c r="I383" t="n">
        <v>3.8</v>
      </c>
      <c r="J383" t="n">
        <v>0</v>
      </c>
      <c r="K383" t="n">
        <v>0</v>
      </c>
      <c r="L383" t="n">
        <v>0</v>
      </c>
      <c r="M383" t="n">
        <v>0</v>
      </c>
      <c r="N383" t="n">
        <v>0</v>
      </c>
      <c r="O383" t="n">
        <v>0</v>
      </c>
      <c r="P383" t="n">
        <v>0</v>
      </c>
      <c r="Q383" t="n">
        <v>0</v>
      </c>
      <c r="R383" t="n">
        <v>0</v>
      </c>
      <c r="S383" t="n">
        <v>0</v>
      </c>
      <c r="T383" t="n">
        <v>0</v>
      </c>
      <c r="U383" s="2" t="inlineStr"/>
    </row>
    <row r="384" ht="15" customHeight="1">
      <c r="A384" t="inlineStr">
        <is>
          <t>A 35816-2024</t>
        </is>
      </c>
      <c r="B384" t="inlineStr">
        <is>
          <t>avverkningsanmälan</t>
        </is>
      </c>
      <c r="C384" t="inlineStr">
        <is>
          <t>Föryngringsavverkning</t>
        </is>
      </c>
      <c r="D384" s="1" t="n">
        <v>45532</v>
      </c>
      <c r="E384" s="1" t="n">
        <v>46217</v>
      </c>
      <c r="F384" t="inlineStr">
        <is>
          <t>KALMAR LÄN</t>
        </is>
      </c>
      <c r="G384" t="inlineStr">
        <is>
          <t>HULTSFRED</t>
        </is>
      </c>
      <c r="H384" t="inlineStr">
        <is>
          <t>Övriga Aktiebolag</t>
        </is>
      </c>
      <c r="I384" t="n">
        <v>3.1</v>
      </c>
      <c r="J384" t="n">
        <v>0</v>
      </c>
      <c r="K384" t="n">
        <v>0</v>
      </c>
      <c r="L384" t="n">
        <v>0</v>
      </c>
      <c r="M384" t="n">
        <v>0</v>
      </c>
      <c r="N384" t="n">
        <v>0</v>
      </c>
      <c r="O384" t="n">
        <v>0</v>
      </c>
      <c r="P384" t="n">
        <v>0</v>
      </c>
      <c r="Q384" t="n">
        <v>0</v>
      </c>
      <c r="R384" t="n">
        <v>0</v>
      </c>
      <c r="S384" t="n">
        <v>0</v>
      </c>
      <c r="T384" t="n">
        <v>0</v>
      </c>
      <c r="U384" s="2" t="inlineStr"/>
    </row>
    <row r="385" ht="15" customHeight="1">
      <c r="A385" t="inlineStr">
        <is>
          <t>A 4965-2025</t>
        </is>
      </c>
      <c r="B385" t="inlineStr">
        <is>
          <t>avverkningsanmälan</t>
        </is>
      </c>
      <c r="C385" t="inlineStr">
        <is>
          <t>Föryngringsavverkning</t>
        </is>
      </c>
      <c r="D385" s="1" t="n">
        <v>45690</v>
      </c>
      <c r="E385" s="1" t="n">
        <v>46217</v>
      </c>
      <c r="F385" t="inlineStr">
        <is>
          <t>KALMAR LÄN</t>
        </is>
      </c>
      <c r="G385" t="inlineStr">
        <is>
          <t>HULTSFRED</t>
        </is>
      </c>
      <c r="H385" t="inlineStr">
        <is>
          <t>Sveaskog</t>
        </is>
      </c>
      <c r="I385" t="n">
        <v>5.9</v>
      </c>
      <c r="J385" t="n">
        <v>0</v>
      </c>
      <c r="K385" t="n">
        <v>0</v>
      </c>
      <c r="L385" t="n">
        <v>0</v>
      </c>
      <c r="M385" t="n">
        <v>0</v>
      </c>
      <c r="N385" t="n">
        <v>0</v>
      </c>
      <c r="O385" t="n">
        <v>0</v>
      </c>
      <c r="P385" t="n">
        <v>0</v>
      </c>
      <c r="Q385" t="n">
        <v>0</v>
      </c>
      <c r="R385" t="n">
        <v>0</v>
      </c>
      <c r="S385" t="n">
        <v>0</v>
      </c>
      <c r="T385" t="n">
        <v>0</v>
      </c>
      <c r="U385" s="2" t="inlineStr"/>
    </row>
    <row r="386" ht="15" customHeight="1">
      <c r="A386" t="inlineStr">
        <is>
          <t>A 19185-2023</t>
        </is>
      </c>
      <c r="B386" t="inlineStr">
        <is>
          <t>avverkningsanmälan</t>
        </is>
      </c>
      <c r="C386" t="inlineStr">
        <is>
          <t>Föryngringsavverkning</t>
        </is>
      </c>
      <c r="D386" s="1" t="n">
        <v>45048</v>
      </c>
      <c r="E386" s="1" t="n">
        <v>46217</v>
      </c>
      <c r="F386" t="inlineStr">
        <is>
          <t>KALMAR LÄN</t>
        </is>
      </c>
      <c r="G386" t="inlineStr">
        <is>
          <t>HULTSFRED</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50894-2023</t>
        </is>
      </c>
      <c r="B387" t="inlineStr">
        <is>
          <t>avverkningsanmälan</t>
        </is>
      </c>
      <c r="C387" t="inlineStr">
        <is>
          <t>Föryngringsavverkning</t>
        </is>
      </c>
      <c r="D387" s="1" t="n">
        <v>45218</v>
      </c>
      <c r="E387" s="1" t="n">
        <v>46217</v>
      </c>
      <c r="F387" t="inlineStr">
        <is>
          <t>KALMAR LÄN</t>
        </is>
      </c>
      <c r="G387" t="inlineStr">
        <is>
          <t>HULTSFRED</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58094-2023</t>
        </is>
      </c>
      <c r="B388" t="inlineStr">
        <is>
          <t>avverkningsanmälan</t>
        </is>
      </c>
      <c r="C388" t="inlineStr">
        <is>
          <t>Föryngringsavverkning</t>
        </is>
      </c>
      <c r="D388" s="1" t="n">
        <v>45248</v>
      </c>
      <c r="E388" s="1" t="n">
        <v>46217</v>
      </c>
      <c r="F388" t="inlineStr">
        <is>
          <t>KALMAR LÄN</t>
        </is>
      </c>
      <c r="G388" t="inlineStr">
        <is>
          <t>HULTSFRED</t>
        </is>
      </c>
      <c r="I388" t="n">
        <v>8</v>
      </c>
      <c r="J388" t="n">
        <v>0</v>
      </c>
      <c r="K388" t="n">
        <v>0</v>
      </c>
      <c r="L388" t="n">
        <v>0</v>
      </c>
      <c r="M388" t="n">
        <v>0</v>
      </c>
      <c r="N388" t="n">
        <v>0</v>
      </c>
      <c r="O388" t="n">
        <v>0</v>
      </c>
      <c r="P388" t="n">
        <v>0</v>
      </c>
      <c r="Q388" t="n">
        <v>0</v>
      </c>
      <c r="R388" t="n">
        <v>0</v>
      </c>
      <c r="S388" t="n">
        <v>0</v>
      </c>
      <c r="T388" t="n">
        <v>0</v>
      </c>
      <c r="U388" s="2" t="inlineStr"/>
    </row>
    <row r="389" ht="15" customHeight="1">
      <c r="A389" t="inlineStr">
        <is>
          <t>A 52133-2025</t>
        </is>
      </c>
      <c r="B389" t="inlineStr">
        <is>
          <t>avverkningsanmälan</t>
        </is>
      </c>
      <c r="C389" t="inlineStr">
        <is>
          <t>Föryngringsavverkning</t>
        </is>
      </c>
      <c r="D389" s="1" t="n">
        <v>45952</v>
      </c>
      <c r="E389" s="1" t="n">
        <v>46217</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15236-2023</t>
        </is>
      </c>
      <c r="B390" t="inlineStr">
        <is>
          <t>avverkningsanmälan</t>
        </is>
      </c>
      <c r="C390" t="inlineStr">
        <is>
          <t>Föryngringsavverkning</t>
        </is>
      </c>
      <c r="D390" s="1" t="n">
        <v>45019</v>
      </c>
      <c r="E390" s="1" t="n">
        <v>46217</v>
      </c>
      <c r="F390" t="inlineStr">
        <is>
          <t>KALMAR LÄN</t>
        </is>
      </c>
      <c r="G390" t="inlineStr">
        <is>
          <t>HULTSFRED</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15244-2023</t>
        </is>
      </c>
      <c r="B391" t="inlineStr">
        <is>
          <t>avverkningsanmälan</t>
        </is>
      </c>
      <c r="C391" t="inlineStr">
        <is>
          <t>Föryngringsavverkning</t>
        </is>
      </c>
      <c r="D391" s="1" t="n">
        <v>45019</v>
      </c>
      <c r="E391" s="1" t="n">
        <v>46217</v>
      </c>
      <c r="F391" t="inlineStr">
        <is>
          <t>KALMAR LÄN</t>
        </is>
      </c>
      <c r="G391" t="inlineStr">
        <is>
          <t>HULTSFRED</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13449-2025</t>
        </is>
      </c>
      <c r="B392" t="inlineStr">
        <is>
          <t>avverkningsanmälan</t>
        </is>
      </c>
      <c r="C392" t="inlineStr">
        <is>
          <t>Avverkning för annat ändamål</t>
        </is>
      </c>
      <c r="D392" s="1" t="n">
        <v>45736</v>
      </c>
      <c r="E392" s="1" t="n">
        <v>46217</v>
      </c>
      <c r="F392" t="inlineStr">
        <is>
          <t>KALMAR LÄN</t>
        </is>
      </c>
      <c r="G392" t="inlineStr">
        <is>
          <t>HULTSFRED</t>
        </is>
      </c>
      <c r="I392" t="n">
        <v>5.4</v>
      </c>
      <c r="J392" t="n">
        <v>0</v>
      </c>
      <c r="K392" t="n">
        <v>0</v>
      </c>
      <c r="L392" t="n">
        <v>0</v>
      </c>
      <c r="M392" t="n">
        <v>0</v>
      </c>
      <c r="N392" t="n">
        <v>0</v>
      </c>
      <c r="O392" t="n">
        <v>0</v>
      </c>
      <c r="P392" t="n">
        <v>0</v>
      </c>
      <c r="Q392" t="n">
        <v>0</v>
      </c>
      <c r="R392" t="n">
        <v>0</v>
      </c>
      <c r="S392" t="n">
        <v>0</v>
      </c>
      <c r="T392" t="n">
        <v>0</v>
      </c>
      <c r="U392" s="2" t="inlineStr"/>
    </row>
    <row r="393" ht="15" customHeight="1">
      <c r="A393" t="inlineStr">
        <is>
          <t>A 52134-2025</t>
        </is>
      </c>
      <c r="B393" t="inlineStr">
        <is>
          <t>avverkningsanmälan</t>
        </is>
      </c>
      <c r="C393" t="inlineStr">
        <is>
          <t>Föryngringsavverkning</t>
        </is>
      </c>
      <c r="D393" s="1" t="n">
        <v>45952</v>
      </c>
      <c r="E393" s="1" t="n">
        <v>46217</v>
      </c>
      <c r="F393" t="inlineStr">
        <is>
          <t>KALMAR LÄN</t>
        </is>
      </c>
      <c r="G393" t="inlineStr">
        <is>
          <t>HULTSFRED</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30386-2023</t>
        </is>
      </c>
      <c r="B394" t="inlineStr">
        <is>
          <t>avverkningsanmälan</t>
        </is>
      </c>
      <c r="C394" t="inlineStr">
        <is>
          <t>Föryngringsavverkning</t>
        </is>
      </c>
      <c r="D394" s="1" t="n">
        <v>45099</v>
      </c>
      <c r="E394" s="1" t="n">
        <v>46217</v>
      </c>
      <c r="F394" t="inlineStr">
        <is>
          <t>KALMAR LÄN</t>
        </is>
      </c>
      <c r="G394" t="inlineStr">
        <is>
          <t>HULTSFRED</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53257-2025</t>
        </is>
      </c>
      <c r="B395" t="inlineStr">
        <is>
          <t>avverkningsanmälan</t>
        </is>
      </c>
      <c r="C395" t="inlineStr">
        <is>
          <t>Föryngringsavverkning</t>
        </is>
      </c>
      <c r="D395" s="1" t="n">
        <v>45958</v>
      </c>
      <c r="E395" s="1" t="n">
        <v>46217</v>
      </c>
      <c r="F395" t="inlineStr">
        <is>
          <t>KALMAR LÄN</t>
        </is>
      </c>
      <c r="G395" t="inlineStr">
        <is>
          <t>HULTSFRED</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10995-2025</t>
        </is>
      </c>
      <c r="B396" t="inlineStr">
        <is>
          <t>avverkningsanmälan</t>
        </is>
      </c>
      <c r="C396" t="inlineStr">
        <is>
          <t>Avverkning för att bevara och utveckla /försöksver</t>
        </is>
      </c>
      <c r="D396" s="1" t="n">
        <v>45723</v>
      </c>
      <c r="E396" s="1" t="n">
        <v>46217</v>
      </c>
      <c r="F396" t="inlineStr">
        <is>
          <t>KALMAR LÄN</t>
        </is>
      </c>
      <c r="G396" t="inlineStr">
        <is>
          <t>HULTSFRED</t>
        </is>
      </c>
      <c r="H396" t="inlineStr">
        <is>
          <t>Sveaskog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62721-2025</t>
        </is>
      </c>
      <c r="B397" t="inlineStr">
        <is>
          <t>avverkningsanmälan</t>
        </is>
      </c>
      <c r="C397" t="inlineStr">
        <is>
          <t>Föryngringsavverkning</t>
        </is>
      </c>
      <c r="D397" s="1" t="n">
        <v>46008</v>
      </c>
      <c r="E397" s="1" t="n">
        <v>46217</v>
      </c>
      <c r="F397" t="inlineStr">
        <is>
          <t>KALMAR LÄN</t>
        </is>
      </c>
      <c r="G397" t="inlineStr">
        <is>
          <t>HULTSFRED</t>
        </is>
      </c>
      <c r="I397" t="n">
        <v>4.7</v>
      </c>
      <c r="J397" t="n">
        <v>0</v>
      </c>
      <c r="K397" t="n">
        <v>0</v>
      </c>
      <c r="L397" t="n">
        <v>0</v>
      </c>
      <c r="M397" t="n">
        <v>0</v>
      </c>
      <c r="N397" t="n">
        <v>0</v>
      </c>
      <c r="O397" t="n">
        <v>0</v>
      </c>
      <c r="P397" t="n">
        <v>0</v>
      </c>
      <c r="Q397" t="n">
        <v>0</v>
      </c>
      <c r="R397" t="n">
        <v>0</v>
      </c>
      <c r="S397" t="n">
        <v>0</v>
      </c>
      <c r="T397" t="n">
        <v>0</v>
      </c>
      <c r="U397" s="2" t="inlineStr"/>
    </row>
    <row r="398" ht="15" customHeight="1">
      <c r="A398" t="inlineStr">
        <is>
          <t>A 53345-2025</t>
        </is>
      </c>
      <c r="B398" t="inlineStr">
        <is>
          <t>avverkningsanmälan</t>
        </is>
      </c>
      <c r="C398" t="inlineStr">
        <is>
          <t>Föryngringsavverkning</t>
        </is>
      </c>
      <c r="D398" s="1" t="n">
        <v>45959</v>
      </c>
      <c r="E398" s="1" t="n">
        <v>46217</v>
      </c>
      <c r="F398" t="inlineStr">
        <is>
          <t>KALMAR LÄN</t>
        </is>
      </c>
      <c r="G398" t="inlineStr">
        <is>
          <t>HULTSFRED</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5643-2026</t>
        </is>
      </c>
      <c r="B399" t="inlineStr">
        <is>
          <t>avverkningsanmälan</t>
        </is>
      </c>
      <c r="C399" t="inlineStr">
        <is>
          <t>Föryngringsavverkning</t>
        </is>
      </c>
      <c r="D399" s="1" t="n">
        <v>46051</v>
      </c>
      <c r="E399" s="1" t="n">
        <v>46217</v>
      </c>
      <c r="F399" t="inlineStr">
        <is>
          <t>KALMAR LÄN</t>
        </is>
      </c>
      <c r="G399" t="inlineStr">
        <is>
          <t>HULTSFRED</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53900-2025</t>
        </is>
      </c>
      <c r="B400" t="inlineStr">
        <is>
          <t>avverkningsanmälan</t>
        </is>
      </c>
      <c r="C400" t="inlineStr">
        <is>
          <t>Föryngringsavverkning</t>
        </is>
      </c>
      <c r="D400" s="1" t="n">
        <v>45961</v>
      </c>
      <c r="E400" s="1" t="n">
        <v>46217</v>
      </c>
      <c r="F400" t="inlineStr">
        <is>
          <t>KALMAR LÄN</t>
        </is>
      </c>
      <c r="G400" t="inlineStr">
        <is>
          <t>HULTSFRED</t>
        </is>
      </c>
      <c r="H400" t="inlineStr">
        <is>
          <t>Sveaskog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53910-2025</t>
        </is>
      </c>
      <c r="B401" t="inlineStr">
        <is>
          <t>avverkningsanmälan</t>
        </is>
      </c>
      <c r="C401" t="inlineStr">
        <is>
          <t>Föryngringsavverkning</t>
        </is>
      </c>
      <c r="D401" s="1" t="n">
        <v>45961</v>
      </c>
      <c r="E401" s="1" t="n">
        <v>46217</v>
      </c>
      <c r="F401" t="inlineStr">
        <is>
          <t>KALMAR LÄN</t>
        </is>
      </c>
      <c r="G401" t="inlineStr">
        <is>
          <t>HULTSFRED</t>
        </is>
      </c>
      <c r="H401" t="inlineStr">
        <is>
          <t>Sveaskog</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53914-2025</t>
        </is>
      </c>
      <c r="B402" t="inlineStr">
        <is>
          <t>avverkningsanmälan</t>
        </is>
      </c>
      <c r="C402" t="inlineStr">
        <is>
          <t>Föryngringsavverkning</t>
        </is>
      </c>
      <c r="D402" s="1" t="n">
        <v>45961</v>
      </c>
      <c r="E402" s="1" t="n">
        <v>46217</v>
      </c>
      <c r="F402" t="inlineStr">
        <is>
          <t>KALMAR LÄN</t>
        </is>
      </c>
      <c r="G402" t="inlineStr">
        <is>
          <t>HULTSFRED</t>
        </is>
      </c>
      <c r="H402" t="inlineStr">
        <is>
          <t>Sveaskog</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53912-2025</t>
        </is>
      </c>
      <c r="B403" t="inlineStr">
        <is>
          <t>avverkningsanmälan</t>
        </is>
      </c>
      <c r="C403" t="inlineStr">
        <is>
          <t>Föryngringsavverkning</t>
        </is>
      </c>
      <c r="D403" s="1" t="n">
        <v>45961</v>
      </c>
      <c r="E403" s="1" t="n">
        <v>46217</v>
      </c>
      <c r="F403" t="inlineStr">
        <is>
          <t>KALMAR LÄN</t>
        </is>
      </c>
      <c r="G403" t="inlineStr">
        <is>
          <t>HULTSFRED</t>
        </is>
      </c>
      <c r="H403" t="inlineStr">
        <is>
          <t>Sveaskog</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53907-2025</t>
        </is>
      </c>
      <c r="B404" t="inlineStr">
        <is>
          <t>avverkningsanmälan</t>
        </is>
      </c>
      <c r="C404" t="inlineStr">
        <is>
          <t>Föryngringsavverkning</t>
        </is>
      </c>
      <c r="D404" s="1" t="n">
        <v>45961</v>
      </c>
      <c r="E404" s="1" t="n">
        <v>46217</v>
      </c>
      <c r="F404" t="inlineStr">
        <is>
          <t>KALMAR LÄN</t>
        </is>
      </c>
      <c r="G404" t="inlineStr">
        <is>
          <t>HULTSFRED</t>
        </is>
      </c>
      <c r="H404" t="inlineStr">
        <is>
          <t>Sveaskog</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54348-2025</t>
        </is>
      </c>
      <c r="B405" t="inlineStr">
        <is>
          <t>avverkningsanmälan</t>
        </is>
      </c>
      <c r="C405" t="inlineStr">
        <is>
          <t>Föryngringsavverkning</t>
        </is>
      </c>
      <c r="D405" s="1" t="n">
        <v>45964</v>
      </c>
      <c r="E405" s="1" t="n">
        <v>46217</v>
      </c>
      <c r="F405" t="inlineStr">
        <is>
          <t>KALMAR LÄN</t>
        </is>
      </c>
      <c r="G405" t="inlineStr">
        <is>
          <t>HULTSFRED</t>
        </is>
      </c>
      <c r="I405" t="n">
        <v>6.4</v>
      </c>
      <c r="J405" t="n">
        <v>0</v>
      </c>
      <c r="K405" t="n">
        <v>0</v>
      </c>
      <c r="L405" t="n">
        <v>0</v>
      </c>
      <c r="M405" t="n">
        <v>0</v>
      </c>
      <c r="N405" t="n">
        <v>0</v>
      </c>
      <c r="O405" t="n">
        <v>0</v>
      </c>
      <c r="P405" t="n">
        <v>0</v>
      </c>
      <c r="Q405" t="n">
        <v>0</v>
      </c>
      <c r="R405" t="n">
        <v>0</v>
      </c>
      <c r="S405" t="n">
        <v>0</v>
      </c>
      <c r="T405" t="n">
        <v>0</v>
      </c>
      <c r="U405" s="2" t="inlineStr"/>
    </row>
    <row r="406" ht="15" customHeight="1">
      <c r="A406" t="inlineStr">
        <is>
          <t>A 53908-2025</t>
        </is>
      </c>
      <c r="B406" t="inlineStr">
        <is>
          <t>avverkningsanmälan</t>
        </is>
      </c>
      <c r="C406" t="inlineStr">
        <is>
          <t>Föryngringsavverkning</t>
        </is>
      </c>
      <c r="D406" s="1" t="n">
        <v>45961</v>
      </c>
      <c r="E406" s="1" t="n">
        <v>46217</v>
      </c>
      <c r="F406" t="inlineStr">
        <is>
          <t>KALMAR LÄN</t>
        </is>
      </c>
      <c r="G406" t="inlineStr">
        <is>
          <t>HULTSFRED</t>
        </is>
      </c>
      <c r="H406" t="inlineStr">
        <is>
          <t>Sveaskog</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53905-2025</t>
        </is>
      </c>
      <c r="B407" t="inlineStr">
        <is>
          <t>avverkningsanmälan</t>
        </is>
      </c>
      <c r="C407" t="inlineStr">
        <is>
          <t>Föryngringsavverkning</t>
        </is>
      </c>
      <c r="D407" s="1" t="n">
        <v>45961</v>
      </c>
      <c r="E407" s="1" t="n">
        <v>46217</v>
      </c>
      <c r="F407" t="inlineStr">
        <is>
          <t>KALMAR LÄN</t>
        </is>
      </c>
      <c r="G407" t="inlineStr">
        <is>
          <t>HULTSFRED</t>
        </is>
      </c>
      <c r="H407" t="inlineStr">
        <is>
          <t>Sveaskog</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53901-2025</t>
        </is>
      </c>
      <c r="B408" t="inlineStr">
        <is>
          <t>avverkningsanmälan</t>
        </is>
      </c>
      <c r="C408" t="inlineStr">
        <is>
          <t>Föryngringsavverkning</t>
        </is>
      </c>
      <c r="D408" s="1" t="n">
        <v>45961</v>
      </c>
      <c r="E408" s="1" t="n">
        <v>46217</v>
      </c>
      <c r="F408" t="inlineStr">
        <is>
          <t>KALMAR LÄN</t>
        </is>
      </c>
      <c r="G408" t="inlineStr">
        <is>
          <t>HULTSFRED</t>
        </is>
      </c>
      <c r="H408" t="inlineStr">
        <is>
          <t>Sveaskog</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211-2022</t>
        </is>
      </c>
      <c r="B409" t="inlineStr">
        <is>
          <t>avverkningsanmälan</t>
        </is>
      </c>
      <c r="C409" t="inlineStr">
        <is>
          <t>Avverkning för annat ändamål</t>
        </is>
      </c>
      <c r="D409" s="1" t="n">
        <v>44564</v>
      </c>
      <c r="E409" s="1" t="n">
        <v>46217</v>
      </c>
      <c r="F409" t="inlineStr">
        <is>
          <t>KALMAR LÄN</t>
        </is>
      </c>
      <c r="G409" t="inlineStr">
        <is>
          <t>HULTSFRED</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54308-2025</t>
        </is>
      </c>
      <c r="B410" t="inlineStr">
        <is>
          <t>avverkningsanmälan</t>
        </is>
      </c>
      <c r="C410" t="inlineStr">
        <is>
          <t>Avverkning för att bevara och utveckla /försöksver</t>
        </is>
      </c>
      <c r="D410" s="1" t="n">
        <v>45965</v>
      </c>
      <c r="E410" s="1" t="n">
        <v>46217</v>
      </c>
      <c r="F410" t="inlineStr">
        <is>
          <t>KALMAR LÄN</t>
        </is>
      </c>
      <c r="G410" t="inlineStr">
        <is>
          <t>HULTSFRED</t>
        </is>
      </c>
      <c r="H410" t="inlineStr">
        <is>
          <t>Sveaskog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27537-2025</t>
        </is>
      </c>
      <c r="B411" t="inlineStr">
        <is>
          <t>avverkningsanmälan</t>
        </is>
      </c>
      <c r="C411" t="inlineStr">
        <is>
          <t>Föryngringsavverkning</t>
        </is>
      </c>
      <c r="D411" s="1" t="n">
        <v>45813</v>
      </c>
      <c r="E411" s="1" t="n">
        <v>46217</v>
      </c>
      <c r="F411" t="inlineStr">
        <is>
          <t>KALMAR LÄN</t>
        </is>
      </c>
      <c r="G411" t="inlineStr">
        <is>
          <t>HULTSFRED</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4944-2022</t>
        </is>
      </c>
      <c r="B412" t="inlineStr">
        <is>
          <t>avverkningsanmälan</t>
        </is>
      </c>
      <c r="C412" t="inlineStr">
        <is>
          <t>Föryngringsavverkning</t>
        </is>
      </c>
      <c r="D412" s="1" t="n">
        <v>44593</v>
      </c>
      <c r="E412" s="1" t="n">
        <v>46217</v>
      </c>
      <c r="F412" t="inlineStr">
        <is>
          <t>KALMAR LÄN</t>
        </is>
      </c>
      <c r="G412" t="inlineStr">
        <is>
          <t>HULTSFRED</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115-2023</t>
        </is>
      </c>
      <c r="B413" t="inlineStr">
        <is>
          <t>avverkningsanmälan</t>
        </is>
      </c>
      <c r="C413" t="inlineStr">
        <is>
          <t>Föryngringsavverkning</t>
        </is>
      </c>
      <c r="D413" s="1" t="n">
        <v>44928</v>
      </c>
      <c r="E413" s="1" t="n">
        <v>46217</v>
      </c>
      <c r="F413" t="inlineStr">
        <is>
          <t>KALMAR LÄN</t>
        </is>
      </c>
      <c r="G413" t="inlineStr">
        <is>
          <t>HULTSFRED</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59467-2024</t>
        </is>
      </c>
      <c r="B414" t="inlineStr">
        <is>
          <t>avverkningsanmälan</t>
        </is>
      </c>
      <c r="C414" t="inlineStr">
        <is>
          <t>Föryngringsavverkning</t>
        </is>
      </c>
      <c r="D414" s="1" t="n">
        <v>45638</v>
      </c>
      <c r="E414" s="1" t="n">
        <v>46217</v>
      </c>
      <c r="F414" t="inlineStr">
        <is>
          <t>KALMAR LÄN</t>
        </is>
      </c>
      <c r="G414" t="inlineStr">
        <is>
          <t>HULTSFRED</t>
        </is>
      </c>
      <c r="H414" t="inlineStr">
        <is>
          <t>Sveaskog</t>
        </is>
      </c>
      <c r="I414" t="n">
        <v>3.8</v>
      </c>
      <c r="J414" t="n">
        <v>0</v>
      </c>
      <c r="K414" t="n">
        <v>0</v>
      </c>
      <c r="L414" t="n">
        <v>0</v>
      </c>
      <c r="M414" t="n">
        <v>0</v>
      </c>
      <c r="N414" t="n">
        <v>0</v>
      </c>
      <c r="O414" t="n">
        <v>0</v>
      </c>
      <c r="P414" t="n">
        <v>0</v>
      </c>
      <c r="Q414" t="n">
        <v>0</v>
      </c>
      <c r="R414" t="n">
        <v>0</v>
      </c>
      <c r="S414" t="n">
        <v>0</v>
      </c>
      <c r="T414" t="n">
        <v>0</v>
      </c>
      <c r="U414" s="2" t="inlineStr"/>
    </row>
    <row r="415" ht="15" customHeight="1">
      <c r="A415" t="inlineStr">
        <is>
          <t>A 55971-2025</t>
        </is>
      </c>
      <c r="B415" t="inlineStr">
        <is>
          <t>avverkningsanmälan</t>
        </is>
      </c>
      <c r="C415" t="inlineStr">
        <is>
          <t>Föryngringsavverkning</t>
        </is>
      </c>
      <c r="D415" s="1" t="n">
        <v>45973</v>
      </c>
      <c r="E415" s="1" t="n">
        <v>46217</v>
      </c>
      <c r="F415" t="inlineStr">
        <is>
          <t>KALMAR LÄN</t>
        </is>
      </c>
      <c r="G415" t="inlineStr">
        <is>
          <t>HULTSFRED</t>
        </is>
      </c>
      <c r="I415" t="n">
        <v>4.9</v>
      </c>
      <c r="J415" t="n">
        <v>0</v>
      </c>
      <c r="K415" t="n">
        <v>0</v>
      </c>
      <c r="L415" t="n">
        <v>0</v>
      </c>
      <c r="M415" t="n">
        <v>0</v>
      </c>
      <c r="N415" t="n">
        <v>0</v>
      </c>
      <c r="O415" t="n">
        <v>0</v>
      </c>
      <c r="P415" t="n">
        <v>0</v>
      </c>
      <c r="Q415" t="n">
        <v>0</v>
      </c>
      <c r="R415" t="n">
        <v>0</v>
      </c>
      <c r="S415" t="n">
        <v>0</v>
      </c>
      <c r="T415" t="n">
        <v>0</v>
      </c>
      <c r="U415" s="2" t="inlineStr"/>
    </row>
    <row r="416" ht="15" customHeight="1">
      <c r="A416" t="inlineStr">
        <is>
          <t>A 25878-2024</t>
        </is>
      </c>
      <c r="B416" t="inlineStr">
        <is>
          <t>avverkningsanmälan</t>
        </is>
      </c>
      <c r="C416" t="inlineStr">
        <is>
          <t>Föryngringsavverkning</t>
        </is>
      </c>
      <c r="D416" s="1" t="n">
        <v>45467</v>
      </c>
      <c r="E416" s="1" t="n">
        <v>46217</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13862-2024</t>
        </is>
      </c>
      <c r="B417" t="inlineStr">
        <is>
          <t>avverkningsanmälan</t>
        </is>
      </c>
      <c r="C417" t="inlineStr">
        <is>
          <t>Föryngringsavverkning</t>
        </is>
      </c>
      <c r="D417" s="1" t="n">
        <v>45390</v>
      </c>
      <c r="E417" s="1" t="n">
        <v>46217</v>
      </c>
      <c r="F417" t="inlineStr">
        <is>
          <t>KALMAR LÄN</t>
        </is>
      </c>
      <c r="G417" t="inlineStr">
        <is>
          <t>HULTSFRED</t>
        </is>
      </c>
      <c r="I417" t="n">
        <v>5.3</v>
      </c>
      <c r="J417" t="n">
        <v>0</v>
      </c>
      <c r="K417" t="n">
        <v>0</v>
      </c>
      <c r="L417" t="n">
        <v>0</v>
      </c>
      <c r="M417" t="n">
        <v>0</v>
      </c>
      <c r="N417" t="n">
        <v>0</v>
      </c>
      <c r="O417" t="n">
        <v>0</v>
      </c>
      <c r="P417" t="n">
        <v>0</v>
      </c>
      <c r="Q417" t="n">
        <v>0</v>
      </c>
      <c r="R417" t="n">
        <v>0</v>
      </c>
      <c r="S417" t="n">
        <v>0</v>
      </c>
      <c r="T417" t="n">
        <v>0</v>
      </c>
      <c r="U417" s="2" t="inlineStr"/>
    </row>
    <row r="418" ht="15" customHeight="1">
      <c r="A418" t="inlineStr">
        <is>
          <t>A 27351-2023</t>
        </is>
      </c>
      <c r="B418" t="inlineStr">
        <is>
          <t>avverkningsanmälan</t>
        </is>
      </c>
      <c r="C418" t="inlineStr">
        <is>
          <t>Föryngringsavverkning</t>
        </is>
      </c>
      <c r="D418" s="1" t="n">
        <v>45096</v>
      </c>
      <c r="E418" s="1" t="n">
        <v>46217</v>
      </c>
      <c r="F418" t="inlineStr">
        <is>
          <t>KALMAR LÄN</t>
        </is>
      </c>
      <c r="G418" t="inlineStr">
        <is>
          <t>HULTSFRED</t>
        </is>
      </c>
      <c r="I418" t="n">
        <v>2.3</v>
      </c>
      <c r="J418" t="n">
        <v>0</v>
      </c>
      <c r="K418" t="n">
        <v>0</v>
      </c>
      <c r="L418" t="n">
        <v>0</v>
      </c>
      <c r="M418" t="n">
        <v>0</v>
      </c>
      <c r="N418" t="n">
        <v>0</v>
      </c>
      <c r="O418" t="n">
        <v>0</v>
      </c>
      <c r="P418" t="n">
        <v>0</v>
      </c>
      <c r="Q418" t="n">
        <v>0</v>
      </c>
      <c r="R418" t="n">
        <v>0</v>
      </c>
      <c r="S418" t="n">
        <v>0</v>
      </c>
      <c r="T418" t="n">
        <v>0</v>
      </c>
      <c r="U418" s="2" t="inlineStr"/>
    </row>
    <row r="419" ht="15" customHeight="1">
      <c r="A419" t="inlineStr">
        <is>
          <t>A 45236-2021</t>
        </is>
      </c>
      <c r="B419" t="inlineStr">
        <is>
          <t>avverkningsanmälan</t>
        </is>
      </c>
      <c r="C419" t="inlineStr">
        <is>
          <t>Föryngringsavverkning</t>
        </is>
      </c>
      <c r="D419" s="1" t="n">
        <v>44439</v>
      </c>
      <c r="E419" s="1" t="n">
        <v>46217</v>
      </c>
      <c r="F419" t="inlineStr">
        <is>
          <t>KALMAR LÄN</t>
        </is>
      </c>
      <c r="G419" t="inlineStr">
        <is>
          <t>HULTSFRED</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26469-2026</t>
        </is>
      </c>
      <c r="B420" t="inlineStr">
        <is>
          <t>avverkningsanmälan</t>
        </is>
      </c>
      <c r="C420" t="inlineStr">
        <is>
          <t>Föryngringsavverkning</t>
        </is>
      </c>
      <c r="D420" s="1" t="n">
        <v>46183</v>
      </c>
      <c r="E420" s="1" t="n">
        <v>46217</v>
      </c>
      <c r="F420" t="inlineStr">
        <is>
          <t>KALMAR LÄN</t>
        </is>
      </c>
      <c r="G420" t="inlineStr">
        <is>
          <t>HULTSFRED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26476-2026</t>
        </is>
      </c>
      <c r="B421" t="inlineStr">
        <is>
          <t>avverkningsanmälan</t>
        </is>
      </c>
      <c r="C421" t="inlineStr">
        <is>
          <t>Föryngringsavverkning</t>
        </is>
      </c>
      <c r="D421" s="1" t="n">
        <v>46183</v>
      </c>
      <c r="E421" s="1" t="n">
        <v>46217</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26517-2026</t>
        </is>
      </c>
      <c r="B422" t="inlineStr">
        <is>
          <t>avverkningsanmälan</t>
        </is>
      </c>
      <c r="C422" t="inlineStr">
        <is>
          <t>Föryngringsavverkning</t>
        </is>
      </c>
      <c r="D422" s="1" t="n">
        <v>46183</v>
      </c>
      <c r="E422" s="1" t="n">
        <v>46217</v>
      </c>
      <c r="F422" t="inlineStr">
        <is>
          <t>KALMAR LÄN</t>
        </is>
      </c>
      <c r="G422" t="inlineStr">
        <is>
          <t>HULTSFRED</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26461-2026</t>
        </is>
      </c>
      <c r="B423" t="inlineStr">
        <is>
          <t>avverkningsanmälan</t>
        </is>
      </c>
      <c r="C423" t="inlineStr">
        <is>
          <t>Föryngringsavverkning</t>
        </is>
      </c>
      <c r="D423" s="1" t="n">
        <v>46183</v>
      </c>
      <c r="E423" s="1" t="n">
        <v>46217</v>
      </c>
      <c r="F423" t="inlineStr">
        <is>
          <t>KALMAR LÄN</t>
        </is>
      </c>
      <c r="G423" t="inlineStr">
        <is>
          <t>HULTSFRED</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26488-2026</t>
        </is>
      </c>
      <c r="B424" t="inlineStr">
        <is>
          <t>avverkningsanmälan</t>
        </is>
      </c>
      <c r="C424" t="inlineStr">
        <is>
          <t>Avverkning för annat ändamål</t>
        </is>
      </c>
      <c r="D424" s="1" t="n">
        <v>46183</v>
      </c>
      <c r="E424" s="1" t="n">
        <v>46217</v>
      </c>
      <c r="F424" t="inlineStr">
        <is>
          <t>KALMAR LÄN</t>
        </is>
      </c>
      <c r="G424" t="inlineStr">
        <is>
          <t>HULTSFRED</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57546-2025</t>
        </is>
      </c>
      <c r="B425" t="inlineStr">
        <is>
          <t>avverkningsanmälan</t>
        </is>
      </c>
      <c r="C425" t="inlineStr">
        <is>
          <t>Föryngringsavverkning</t>
        </is>
      </c>
      <c r="D425" s="1" t="n">
        <v>45980</v>
      </c>
      <c r="E425" s="1" t="n">
        <v>46217</v>
      </c>
      <c r="F425" t="inlineStr">
        <is>
          <t>KALMAR LÄN</t>
        </is>
      </c>
      <c r="G425" t="inlineStr">
        <is>
          <t>HULTSFRED</t>
        </is>
      </c>
      <c r="I425" t="n">
        <v>11.5</v>
      </c>
      <c r="J425" t="n">
        <v>0</v>
      </c>
      <c r="K425" t="n">
        <v>0</v>
      </c>
      <c r="L425" t="n">
        <v>0</v>
      </c>
      <c r="M425" t="n">
        <v>0</v>
      </c>
      <c r="N425" t="n">
        <v>0</v>
      </c>
      <c r="O425" t="n">
        <v>0</v>
      </c>
      <c r="P425" t="n">
        <v>0</v>
      </c>
      <c r="Q425" t="n">
        <v>0</v>
      </c>
      <c r="R425" t="n">
        <v>0</v>
      </c>
      <c r="S425" t="n">
        <v>0</v>
      </c>
      <c r="T425" t="n">
        <v>0</v>
      </c>
      <c r="U425" s="2" t="inlineStr"/>
    </row>
    <row r="426" ht="15" customHeight="1">
      <c r="A426" t="inlineStr">
        <is>
          <t>A 14726-2025</t>
        </is>
      </c>
      <c r="B426" t="inlineStr">
        <is>
          <t>avverkningsanmälan</t>
        </is>
      </c>
      <c r="C426" t="inlineStr">
        <is>
          <t>Föryngringsavverkning</t>
        </is>
      </c>
      <c r="D426" s="1" t="n">
        <v>45742</v>
      </c>
      <c r="E426" s="1" t="n">
        <v>46217</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22645-2023</t>
        </is>
      </c>
      <c r="B427" t="inlineStr">
        <is>
          <t>avverkningsanmälan</t>
        </is>
      </c>
      <c r="C427" t="inlineStr">
        <is>
          <t>Föryngringsavverkning</t>
        </is>
      </c>
      <c r="D427" s="1" t="n">
        <v>45071</v>
      </c>
      <c r="E427" s="1" t="n">
        <v>46217</v>
      </c>
      <c r="F427" t="inlineStr">
        <is>
          <t>KALMAR LÄN</t>
        </is>
      </c>
      <c r="G427" t="inlineStr">
        <is>
          <t>HULTSFRED</t>
        </is>
      </c>
      <c r="I427" t="n">
        <v>7.8</v>
      </c>
      <c r="J427" t="n">
        <v>0</v>
      </c>
      <c r="K427" t="n">
        <v>0</v>
      </c>
      <c r="L427" t="n">
        <v>0</v>
      </c>
      <c r="M427" t="n">
        <v>0</v>
      </c>
      <c r="N427" t="n">
        <v>0</v>
      </c>
      <c r="O427" t="n">
        <v>0</v>
      </c>
      <c r="P427" t="n">
        <v>0</v>
      </c>
      <c r="Q427" t="n">
        <v>0</v>
      </c>
      <c r="R427" t="n">
        <v>0</v>
      </c>
      <c r="S427" t="n">
        <v>0</v>
      </c>
      <c r="T427" t="n">
        <v>0</v>
      </c>
      <c r="U427" s="2" t="inlineStr"/>
    </row>
    <row r="428" ht="15" customHeight="1">
      <c r="A428" t="inlineStr">
        <is>
          <t>A 58043-2025</t>
        </is>
      </c>
      <c r="B428" t="inlineStr">
        <is>
          <t>avverkningsanmälan</t>
        </is>
      </c>
      <c r="C428" t="inlineStr">
        <is>
          <t>Föryngringsavverkning</t>
        </is>
      </c>
      <c r="D428" s="1" t="n">
        <v>45982</v>
      </c>
      <c r="E428" s="1" t="n">
        <v>46217</v>
      </c>
      <c r="F428" t="inlineStr">
        <is>
          <t>KALMAR LÄN</t>
        </is>
      </c>
      <c r="G428" t="inlineStr">
        <is>
          <t>HULTSFRED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57479-2022</t>
        </is>
      </c>
      <c r="B429" t="inlineStr">
        <is>
          <t>avverkningsanmälan</t>
        </is>
      </c>
      <c r="C429" t="inlineStr">
        <is>
          <t>Föryngringsavverkning</t>
        </is>
      </c>
      <c r="D429" s="1" t="n">
        <v>44896</v>
      </c>
      <c r="E429" s="1" t="n">
        <v>46217</v>
      </c>
      <c r="F429" t="inlineStr">
        <is>
          <t>KALMAR LÄN</t>
        </is>
      </c>
      <c r="G429" t="inlineStr">
        <is>
          <t>HULTSFRED</t>
        </is>
      </c>
      <c r="I429" t="n">
        <v>6</v>
      </c>
      <c r="J429" t="n">
        <v>0</v>
      </c>
      <c r="K429" t="n">
        <v>0</v>
      </c>
      <c r="L429" t="n">
        <v>0</v>
      </c>
      <c r="M429" t="n">
        <v>0</v>
      </c>
      <c r="N429" t="n">
        <v>0</v>
      </c>
      <c r="O429" t="n">
        <v>0</v>
      </c>
      <c r="P429" t="n">
        <v>0</v>
      </c>
      <c r="Q429" t="n">
        <v>0</v>
      </c>
      <c r="R429" t="n">
        <v>0</v>
      </c>
      <c r="S429" t="n">
        <v>0</v>
      </c>
      <c r="T429" t="n">
        <v>0</v>
      </c>
      <c r="U429" s="2" t="inlineStr"/>
    </row>
    <row r="430" ht="15" customHeight="1">
      <c r="A430" t="inlineStr">
        <is>
          <t>A 26579-2026</t>
        </is>
      </c>
      <c r="B430" t="inlineStr">
        <is>
          <t>avverkningsanmälan</t>
        </is>
      </c>
      <c r="C430" t="inlineStr">
        <is>
          <t>Avverkning för annat ändamål</t>
        </is>
      </c>
      <c r="D430" s="1" t="n">
        <v>46183</v>
      </c>
      <c r="E430" s="1" t="n">
        <v>46217</v>
      </c>
      <c r="F430" t="inlineStr">
        <is>
          <t>KALMAR LÄN</t>
        </is>
      </c>
      <c r="G430" t="inlineStr">
        <is>
          <t>HULTSFRED</t>
        </is>
      </c>
      <c r="I430" t="n">
        <v>23.6</v>
      </c>
      <c r="J430" t="n">
        <v>0</v>
      </c>
      <c r="K430" t="n">
        <v>0</v>
      </c>
      <c r="L430" t="n">
        <v>0</v>
      </c>
      <c r="M430" t="n">
        <v>0</v>
      </c>
      <c r="N430" t="n">
        <v>0</v>
      </c>
      <c r="O430" t="n">
        <v>0</v>
      </c>
      <c r="P430" t="n">
        <v>0</v>
      </c>
      <c r="Q430" t="n">
        <v>0</v>
      </c>
      <c r="R430" t="n">
        <v>0</v>
      </c>
      <c r="S430" t="n">
        <v>0</v>
      </c>
      <c r="T430" t="n">
        <v>0</v>
      </c>
      <c r="U430" s="2" t="inlineStr"/>
    </row>
    <row r="431" ht="15" customHeight="1">
      <c r="A431" t="inlineStr">
        <is>
          <t>A 40554-2023</t>
        </is>
      </c>
      <c r="B431" t="inlineStr">
        <is>
          <t>avverkningsanmälan</t>
        </is>
      </c>
      <c r="C431" t="inlineStr">
        <is>
          <t>Föryngringsavverkning</t>
        </is>
      </c>
      <c r="D431" s="1" t="n">
        <v>45170</v>
      </c>
      <c r="E431" s="1" t="n">
        <v>46217</v>
      </c>
      <c r="F431" t="inlineStr">
        <is>
          <t>KALMAR LÄN</t>
        </is>
      </c>
      <c r="G431" t="inlineStr">
        <is>
          <t>HULTSFRED</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27293-2026</t>
        </is>
      </c>
      <c r="B432" t="inlineStr">
        <is>
          <t>avverkningsanmälan</t>
        </is>
      </c>
      <c r="C432" t="inlineStr">
        <is>
          <t>Föryngringsavverkning</t>
        </is>
      </c>
      <c r="D432" s="1" t="n">
        <v>46184</v>
      </c>
      <c r="E432" s="1" t="n">
        <v>46217</v>
      </c>
      <c r="F432" t="inlineStr">
        <is>
          <t>KALMAR LÄN</t>
        </is>
      </c>
      <c r="G432" t="inlineStr">
        <is>
          <t>HULTSFRED</t>
        </is>
      </c>
      <c r="I432" t="n">
        <v>6.3</v>
      </c>
      <c r="J432" t="n">
        <v>0</v>
      </c>
      <c r="K432" t="n">
        <v>0</v>
      </c>
      <c r="L432" t="n">
        <v>0</v>
      </c>
      <c r="M432" t="n">
        <v>0</v>
      </c>
      <c r="N432" t="n">
        <v>0</v>
      </c>
      <c r="O432" t="n">
        <v>0</v>
      </c>
      <c r="P432" t="n">
        <v>0</v>
      </c>
      <c r="Q432" t="n">
        <v>0</v>
      </c>
      <c r="R432" t="n">
        <v>0</v>
      </c>
      <c r="S432" t="n">
        <v>0</v>
      </c>
      <c r="T432" t="n">
        <v>0</v>
      </c>
      <c r="U432" s="2" t="inlineStr"/>
    </row>
    <row r="433" ht="15" customHeight="1">
      <c r="A433" t="inlineStr">
        <is>
          <t>A 27196-2026</t>
        </is>
      </c>
      <c r="B433" t="inlineStr">
        <is>
          <t>avverkningsanmälan</t>
        </is>
      </c>
      <c r="C433" t="inlineStr">
        <is>
          <t>Föryngringsavverkning</t>
        </is>
      </c>
      <c r="D433" s="1" t="n">
        <v>46188</v>
      </c>
      <c r="E433" s="1" t="n">
        <v>46217</v>
      </c>
      <c r="F433" t="inlineStr">
        <is>
          <t>KALMAR LÄN</t>
        </is>
      </c>
      <c r="G433" t="inlineStr">
        <is>
          <t>HULTSFRED</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27309-2026</t>
        </is>
      </c>
      <c r="B434" t="inlineStr">
        <is>
          <t>avverkningsanmälan</t>
        </is>
      </c>
      <c r="C434" t="inlineStr">
        <is>
          <t>Föryngringsavverkning</t>
        </is>
      </c>
      <c r="D434" s="1" t="n">
        <v>46184</v>
      </c>
      <c r="E434" s="1" t="n">
        <v>46217</v>
      </c>
      <c r="F434" t="inlineStr">
        <is>
          <t>KALMAR LÄN</t>
        </is>
      </c>
      <c r="G434" t="inlineStr">
        <is>
          <t>HULTSFRED</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27013-2026</t>
        </is>
      </c>
      <c r="B435" t="inlineStr">
        <is>
          <t>avverkningsanmälan</t>
        </is>
      </c>
      <c r="C435" t="inlineStr">
        <is>
          <t>Föryngringsavverkning</t>
        </is>
      </c>
      <c r="D435" s="1" t="n">
        <v>46185</v>
      </c>
      <c r="E435" s="1" t="n">
        <v>46217</v>
      </c>
      <c r="F435" t="inlineStr">
        <is>
          <t>KALMAR LÄN</t>
        </is>
      </c>
      <c r="G435" t="inlineStr">
        <is>
          <t>HULTSFRED</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27279-2026</t>
        </is>
      </c>
      <c r="B436" t="inlineStr">
        <is>
          <t>avverkningsanmälan</t>
        </is>
      </c>
      <c r="C436" t="inlineStr">
        <is>
          <t>Föryngringsavverkning</t>
        </is>
      </c>
      <c r="D436" s="1" t="n">
        <v>46184</v>
      </c>
      <c r="E436" s="1" t="n">
        <v>46217</v>
      </c>
      <c r="F436" t="inlineStr">
        <is>
          <t>KALMAR LÄN</t>
        </is>
      </c>
      <c r="G436" t="inlineStr">
        <is>
          <t>HULTSFRED</t>
        </is>
      </c>
      <c r="I436" t="n">
        <v>4.2</v>
      </c>
      <c r="J436" t="n">
        <v>0</v>
      </c>
      <c r="K436" t="n">
        <v>0</v>
      </c>
      <c r="L436" t="n">
        <v>0</v>
      </c>
      <c r="M436" t="n">
        <v>0</v>
      </c>
      <c r="N436" t="n">
        <v>0</v>
      </c>
      <c r="O436" t="n">
        <v>0</v>
      </c>
      <c r="P436" t="n">
        <v>0</v>
      </c>
      <c r="Q436" t="n">
        <v>0</v>
      </c>
      <c r="R436" t="n">
        <v>0</v>
      </c>
      <c r="S436" t="n">
        <v>0</v>
      </c>
      <c r="T436" t="n">
        <v>0</v>
      </c>
      <c r="U436" s="2" t="inlineStr"/>
    </row>
    <row r="437" ht="15" customHeight="1">
      <c r="A437" t="inlineStr">
        <is>
          <t>A 27524-2026</t>
        </is>
      </c>
      <c r="B437" t="inlineStr">
        <is>
          <t>avverkningsanmälan</t>
        </is>
      </c>
      <c r="C437" t="inlineStr">
        <is>
          <t>Föryngringsavverkning</t>
        </is>
      </c>
      <c r="D437" s="1" t="n">
        <v>46185</v>
      </c>
      <c r="E437" s="1" t="n">
        <v>46217</v>
      </c>
      <c r="F437" t="inlineStr">
        <is>
          <t>KALMAR LÄN</t>
        </is>
      </c>
      <c r="G437" t="inlineStr">
        <is>
          <t>HULTSFRED</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3882-2023</t>
        </is>
      </c>
      <c r="B438" t="inlineStr">
        <is>
          <t>avverkningsanmälan</t>
        </is>
      </c>
      <c r="C438" t="inlineStr">
        <is>
          <t>Föryngringsavverkning</t>
        </is>
      </c>
      <c r="D438" s="1" t="n">
        <v>44951</v>
      </c>
      <c r="E438" s="1" t="n">
        <v>46217</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6510-2024</t>
        </is>
      </c>
      <c r="B439" t="inlineStr">
        <is>
          <t>avverkningsanmälan</t>
        </is>
      </c>
      <c r="C439" t="inlineStr">
        <is>
          <t>Föryngringsavverkning</t>
        </is>
      </c>
      <c r="D439" s="1" t="n">
        <v>45340</v>
      </c>
      <c r="E439" s="1" t="n">
        <v>46217</v>
      </c>
      <c r="F439" t="inlineStr">
        <is>
          <t>KALMAR LÄN</t>
        </is>
      </c>
      <c r="G439" t="inlineStr">
        <is>
          <t>HULTSFRED</t>
        </is>
      </c>
      <c r="I439" t="n">
        <v>4.4</v>
      </c>
      <c r="J439" t="n">
        <v>0</v>
      </c>
      <c r="K439" t="n">
        <v>0</v>
      </c>
      <c r="L439" t="n">
        <v>0</v>
      </c>
      <c r="M439" t="n">
        <v>0</v>
      </c>
      <c r="N439" t="n">
        <v>0</v>
      </c>
      <c r="O439" t="n">
        <v>0</v>
      </c>
      <c r="P439" t="n">
        <v>0</v>
      </c>
      <c r="Q439" t="n">
        <v>0</v>
      </c>
      <c r="R439" t="n">
        <v>0</v>
      </c>
      <c r="S439" t="n">
        <v>0</v>
      </c>
      <c r="T439" t="n">
        <v>0</v>
      </c>
      <c r="U439" s="2" t="inlineStr"/>
    </row>
    <row r="440" ht="15" customHeight="1">
      <c r="A440" t="inlineStr">
        <is>
          <t>A 66722-2021</t>
        </is>
      </c>
      <c r="B440" t="inlineStr">
        <is>
          <t>avverkningsanmälan</t>
        </is>
      </c>
      <c r="C440" t="inlineStr">
        <is>
          <t>Föryngringsavverkning</t>
        </is>
      </c>
      <c r="D440" s="1" t="n">
        <v>44519</v>
      </c>
      <c r="E440" s="1" t="n">
        <v>46217</v>
      </c>
      <c r="F440" t="inlineStr">
        <is>
          <t>KALMAR LÄN</t>
        </is>
      </c>
      <c r="G440" t="inlineStr">
        <is>
          <t>HULTSFRED</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36395-2023</t>
        </is>
      </c>
      <c r="B441" t="inlineStr">
        <is>
          <t>avverkningsanmälan</t>
        </is>
      </c>
      <c r="C441" t="inlineStr">
        <is>
          <t>Föryngringsavverkning</t>
        </is>
      </c>
      <c r="D441" s="1" t="n">
        <v>45152</v>
      </c>
      <c r="E441" s="1" t="n">
        <v>46217</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32646-2023</t>
        </is>
      </c>
      <c r="B442" t="inlineStr">
        <is>
          <t>avverkningsanmälan</t>
        </is>
      </c>
      <c r="C442" t="inlineStr">
        <is>
          <t>Föryngringsavverkning</t>
        </is>
      </c>
      <c r="D442" s="1" t="n">
        <v>45121</v>
      </c>
      <c r="E442" s="1" t="n">
        <v>46217</v>
      </c>
      <c r="F442" t="inlineStr">
        <is>
          <t>KALMAR LÄN</t>
        </is>
      </c>
      <c r="G442" t="inlineStr">
        <is>
          <t>HULTSFRED</t>
        </is>
      </c>
      <c r="I442" t="n">
        <v>5.1</v>
      </c>
      <c r="J442" t="n">
        <v>0</v>
      </c>
      <c r="K442" t="n">
        <v>0</v>
      </c>
      <c r="L442" t="n">
        <v>0</v>
      </c>
      <c r="M442" t="n">
        <v>0</v>
      </c>
      <c r="N442" t="n">
        <v>0</v>
      </c>
      <c r="O442" t="n">
        <v>0</v>
      </c>
      <c r="P442" t="n">
        <v>0</v>
      </c>
      <c r="Q442" t="n">
        <v>0</v>
      </c>
      <c r="R442" t="n">
        <v>0</v>
      </c>
      <c r="S442" t="n">
        <v>0</v>
      </c>
      <c r="T442" t="n">
        <v>0</v>
      </c>
      <c r="U442" s="2" t="inlineStr"/>
    </row>
    <row r="443" ht="15" customHeight="1">
      <c r="A443" t="inlineStr">
        <is>
          <t>A 2267-2024</t>
        </is>
      </c>
      <c r="B443" t="inlineStr">
        <is>
          <t>avverkningsanmälan</t>
        </is>
      </c>
      <c r="C443" t="inlineStr">
        <is>
          <t>Föryngringsavverkning</t>
        </is>
      </c>
      <c r="D443" s="1" t="n">
        <v>45310</v>
      </c>
      <c r="E443" s="1" t="n">
        <v>46217</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60361-2023</t>
        </is>
      </c>
      <c r="B444" t="inlineStr">
        <is>
          <t>avverkningsanmälan</t>
        </is>
      </c>
      <c r="C444" t="inlineStr">
        <is>
          <t>Föryngringsavverkning</t>
        </is>
      </c>
      <c r="D444" s="1" t="n">
        <v>45259</v>
      </c>
      <c r="E444" s="1" t="n">
        <v>46217</v>
      </c>
      <c r="F444" t="inlineStr">
        <is>
          <t>KALMAR LÄN</t>
        </is>
      </c>
      <c r="G444" t="inlineStr">
        <is>
          <t>HULTSFRED</t>
        </is>
      </c>
      <c r="I444" t="n">
        <v>3.4</v>
      </c>
      <c r="J444" t="n">
        <v>0</v>
      </c>
      <c r="K444" t="n">
        <v>0</v>
      </c>
      <c r="L444" t="n">
        <v>0</v>
      </c>
      <c r="M444" t="n">
        <v>0</v>
      </c>
      <c r="N444" t="n">
        <v>0</v>
      </c>
      <c r="O444" t="n">
        <v>0</v>
      </c>
      <c r="P444" t="n">
        <v>0</v>
      </c>
      <c r="Q444" t="n">
        <v>0</v>
      </c>
      <c r="R444" t="n">
        <v>0</v>
      </c>
      <c r="S444" t="n">
        <v>0</v>
      </c>
      <c r="T444" t="n">
        <v>0</v>
      </c>
      <c r="U444" s="2" t="inlineStr"/>
    </row>
    <row r="445" ht="15" customHeight="1">
      <c r="A445" t="inlineStr">
        <is>
          <t>A 27972-2026</t>
        </is>
      </c>
      <c r="B445" t="inlineStr">
        <is>
          <t>avverkningsanmälan</t>
        </is>
      </c>
      <c r="C445" t="inlineStr">
        <is>
          <t>Föryngringsavverkning</t>
        </is>
      </c>
      <c r="D445" s="1" t="n">
        <v>46195</v>
      </c>
      <c r="E445" s="1" t="n">
        <v>46217</v>
      </c>
      <c r="F445" t="inlineStr">
        <is>
          <t>KALMAR LÄN</t>
        </is>
      </c>
      <c r="G445" t="inlineStr">
        <is>
          <t>HULTSFRED</t>
        </is>
      </c>
      <c r="H445" t="inlineStr">
        <is>
          <t>Kyrkan</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27977-2026</t>
        </is>
      </c>
      <c r="B446" t="inlineStr">
        <is>
          <t>avverkningsanmälan</t>
        </is>
      </c>
      <c r="C446" t="inlineStr">
        <is>
          <t>Föryngringsavverkning</t>
        </is>
      </c>
      <c r="D446" s="1" t="n">
        <v>46195</v>
      </c>
      <c r="E446" s="1" t="n">
        <v>46217</v>
      </c>
      <c r="F446" t="inlineStr">
        <is>
          <t>KALMAR LÄN</t>
        </is>
      </c>
      <c r="G446" t="inlineStr">
        <is>
          <t>HULTSFRED</t>
        </is>
      </c>
      <c r="H446" t="inlineStr">
        <is>
          <t>Kyrkan</t>
        </is>
      </c>
      <c r="I446" t="n">
        <v>7.1</v>
      </c>
      <c r="J446" t="n">
        <v>0</v>
      </c>
      <c r="K446" t="n">
        <v>0</v>
      </c>
      <c r="L446" t="n">
        <v>0</v>
      </c>
      <c r="M446" t="n">
        <v>0</v>
      </c>
      <c r="N446" t="n">
        <v>0</v>
      </c>
      <c r="O446" t="n">
        <v>0</v>
      </c>
      <c r="P446" t="n">
        <v>0</v>
      </c>
      <c r="Q446" t="n">
        <v>0</v>
      </c>
      <c r="R446" t="n">
        <v>0</v>
      </c>
      <c r="S446" t="n">
        <v>0</v>
      </c>
      <c r="T446" t="n">
        <v>0</v>
      </c>
      <c r="U446" s="2" t="inlineStr"/>
    </row>
    <row r="447" ht="15" customHeight="1">
      <c r="A447" t="inlineStr">
        <is>
          <t>A 60435-2025</t>
        </is>
      </c>
      <c r="B447" t="inlineStr">
        <is>
          <t>avverkningsanmälan</t>
        </is>
      </c>
      <c r="C447" t="inlineStr">
        <is>
          <t>Föryngringsavverkning</t>
        </is>
      </c>
      <c r="D447" s="1" t="n">
        <v>45995</v>
      </c>
      <c r="E447" s="1" t="n">
        <v>46217</v>
      </c>
      <c r="F447" t="inlineStr">
        <is>
          <t>KALMAR LÄN</t>
        </is>
      </c>
      <c r="G447" t="inlineStr">
        <is>
          <t>HULTSFRED</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13786-2024</t>
        </is>
      </c>
      <c r="B448" t="inlineStr">
        <is>
          <t>avverkningsanmälan</t>
        </is>
      </c>
      <c r="C448" t="inlineStr">
        <is>
          <t>Föryngringsavverkning</t>
        </is>
      </c>
      <c r="D448" s="1" t="n">
        <v>45391</v>
      </c>
      <c r="E448" s="1" t="n">
        <v>46217</v>
      </c>
      <c r="F448" t="inlineStr">
        <is>
          <t>KALMAR LÄN</t>
        </is>
      </c>
      <c r="G448" t="inlineStr">
        <is>
          <t>HULTSFRED</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50884-2023</t>
        </is>
      </c>
      <c r="B449" t="inlineStr">
        <is>
          <t>avverkningsanmälan</t>
        </is>
      </c>
      <c r="C449" t="inlineStr">
        <is>
          <t>Föryngringsavverkning</t>
        </is>
      </c>
      <c r="D449" s="1" t="n">
        <v>45218</v>
      </c>
      <c r="E449" s="1" t="n">
        <v>46217</v>
      </c>
      <c r="F449" t="inlineStr">
        <is>
          <t>KALMAR LÄN</t>
        </is>
      </c>
      <c r="G449" t="inlineStr">
        <is>
          <t>HULTSFRED</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28288-2026</t>
        </is>
      </c>
      <c r="B450" t="inlineStr">
        <is>
          <t>avverkningsanmälan</t>
        </is>
      </c>
      <c r="C450" t="inlineStr">
        <is>
          <t>Föryngringsavverkning</t>
        </is>
      </c>
      <c r="D450" s="1" t="n">
        <v>46196</v>
      </c>
      <c r="E450" s="1" t="n">
        <v>46217</v>
      </c>
      <c r="F450" t="inlineStr">
        <is>
          <t>KALMAR LÄN</t>
        </is>
      </c>
      <c r="G450" t="inlineStr">
        <is>
          <t>HULTSFRED</t>
        </is>
      </c>
      <c r="I450" t="n">
        <v>6.2</v>
      </c>
      <c r="J450" t="n">
        <v>0</v>
      </c>
      <c r="K450" t="n">
        <v>0</v>
      </c>
      <c r="L450" t="n">
        <v>0</v>
      </c>
      <c r="M450" t="n">
        <v>0</v>
      </c>
      <c r="N450" t="n">
        <v>0</v>
      </c>
      <c r="O450" t="n">
        <v>0</v>
      </c>
      <c r="P450" t="n">
        <v>0</v>
      </c>
      <c r="Q450" t="n">
        <v>0</v>
      </c>
      <c r="R450" t="n">
        <v>0</v>
      </c>
      <c r="S450" t="n">
        <v>0</v>
      </c>
      <c r="T450" t="n">
        <v>0</v>
      </c>
      <c r="U450" s="2" t="inlineStr"/>
    </row>
    <row r="451" ht="15" customHeight="1">
      <c r="A451" t="inlineStr">
        <is>
          <t>A 28290-2026</t>
        </is>
      </c>
      <c r="B451" t="inlineStr">
        <is>
          <t>avverkningsanmälan</t>
        </is>
      </c>
      <c r="C451" t="inlineStr">
        <is>
          <t>Föryngringsavverkning</t>
        </is>
      </c>
      <c r="D451" s="1" t="n">
        <v>46196</v>
      </c>
      <c r="E451" s="1" t="n">
        <v>46217</v>
      </c>
      <c r="F451" t="inlineStr">
        <is>
          <t>KALMAR LÄN</t>
        </is>
      </c>
      <c r="G451" t="inlineStr">
        <is>
          <t>HULTSFRED</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45658-2023</t>
        </is>
      </c>
      <c r="B452" t="inlineStr">
        <is>
          <t>avverkningsanmälan</t>
        </is>
      </c>
      <c r="C452" t="inlineStr">
        <is>
          <t>Föryngringsavverkning</t>
        </is>
      </c>
      <c r="D452" s="1" t="n">
        <v>45194</v>
      </c>
      <c r="E452" s="1" t="n">
        <v>46217</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42961-2023</t>
        </is>
      </c>
      <c r="B453" t="inlineStr">
        <is>
          <t>avverkningsanmälan</t>
        </is>
      </c>
      <c r="C453" t="inlineStr">
        <is>
          <t>Föryngringsavverkning</t>
        </is>
      </c>
      <c r="D453" s="1" t="n">
        <v>45182</v>
      </c>
      <c r="E453" s="1" t="n">
        <v>46217</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60792-2025</t>
        </is>
      </c>
      <c r="B454" t="inlineStr">
        <is>
          <t>avverkningsanmälan</t>
        </is>
      </c>
      <c r="C454" t="inlineStr">
        <is>
          <t>Föryngringsavverkning</t>
        </is>
      </c>
      <c r="D454" s="1" t="n">
        <v>45999</v>
      </c>
      <c r="E454" s="1" t="n">
        <v>46217</v>
      </c>
      <c r="F454" t="inlineStr">
        <is>
          <t>KALMAR LÄN</t>
        </is>
      </c>
      <c r="G454" t="inlineStr">
        <is>
          <t>HULTSFRED</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60797-2025</t>
        </is>
      </c>
      <c r="B455" t="inlineStr">
        <is>
          <t>avverkningsanmälan</t>
        </is>
      </c>
      <c r="C455" t="inlineStr">
        <is>
          <t>Föryngringsavverkning</t>
        </is>
      </c>
      <c r="D455" s="1" t="n">
        <v>45999</v>
      </c>
      <c r="E455" s="1" t="n">
        <v>46217</v>
      </c>
      <c r="F455" t="inlineStr">
        <is>
          <t>KALMAR LÄN</t>
        </is>
      </c>
      <c r="G455" t="inlineStr">
        <is>
          <t>HULTSFRED</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11710-2023</t>
        </is>
      </c>
      <c r="B456" t="inlineStr">
        <is>
          <t>avverkningsanmälan</t>
        </is>
      </c>
      <c r="C456" t="inlineStr">
        <is>
          <t>Föryngringsavverkning</t>
        </is>
      </c>
      <c r="D456" s="1" t="n">
        <v>44994</v>
      </c>
      <c r="E456" s="1" t="n">
        <v>46217</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68991-2021</t>
        </is>
      </c>
      <c r="B457" t="inlineStr">
        <is>
          <t>avverkningsanmälan</t>
        </is>
      </c>
      <c r="C457" t="inlineStr">
        <is>
          <t>Föryngringsavverkning</t>
        </is>
      </c>
      <c r="D457" s="1" t="n">
        <v>44529</v>
      </c>
      <c r="E457" s="1" t="n">
        <v>46217</v>
      </c>
      <c r="F457" t="inlineStr">
        <is>
          <t>KALMAR LÄN</t>
        </is>
      </c>
      <c r="G457" t="inlineStr">
        <is>
          <t>HULTSFRED</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28910-2023</t>
        </is>
      </c>
      <c r="B458" t="inlineStr">
        <is>
          <t>avverkningsanmälan</t>
        </is>
      </c>
      <c r="C458" t="inlineStr">
        <is>
          <t>Föryngringsavverkning</t>
        </is>
      </c>
      <c r="D458" s="1" t="n">
        <v>45104</v>
      </c>
      <c r="E458" s="1" t="n">
        <v>46217</v>
      </c>
      <c r="F458" t="inlineStr">
        <is>
          <t>KALMAR LÄN</t>
        </is>
      </c>
      <c r="G458" t="inlineStr">
        <is>
          <t>HULTSFRED</t>
        </is>
      </c>
      <c r="I458" t="n">
        <v>4.4</v>
      </c>
      <c r="J458" t="n">
        <v>0</v>
      </c>
      <c r="K458" t="n">
        <v>0</v>
      </c>
      <c r="L458" t="n">
        <v>0</v>
      </c>
      <c r="M458" t="n">
        <v>0</v>
      </c>
      <c r="N458" t="n">
        <v>0</v>
      </c>
      <c r="O458" t="n">
        <v>0</v>
      </c>
      <c r="P458" t="n">
        <v>0</v>
      </c>
      <c r="Q458" t="n">
        <v>0</v>
      </c>
      <c r="R458" t="n">
        <v>0</v>
      </c>
      <c r="S458" t="n">
        <v>0</v>
      </c>
      <c r="T458" t="n">
        <v>0</v>
      </c>
      <c r="U458" s="2" t="inlineStr"/>
    </row>
    <row r="459" ht="15" customHeight="1">
      <c r="A459" t="inlineStr">
        <is>
          <t>A 22234-2026</t>
        </is>
      </c>
      <c r="B459" t="inlineStr">
        <is>
          <t>avverkningsanmälan</t>
        </is>
      </c>
      <c r="C459" t="inlineStr">
        <is>
          <t>Föryngringsavverkning</t>
        </is>
      </c>
      <c r="D459" s="1" t="n">
        <v>46153</v>
      </c>
      <c r="E459" s="1" t="n">
        <v>46217</v>
      </c>
      <c r="F459" t="inlineStr">
        <is>
          <t>KALMAR LÄN</t>
        </is>
      </c>
      <c r="G459" t="inlineStr">
        <is>
          <t>HULTSFRED</t>
        </is>
      </c>
      <c r="I459" t="n">
        <v>1.7</v>
      </c>
      <c r="J459" t="n">
        <v>0</v>
      </c>
      <c r="K459" t="n">
        <v>0</v>
      </c>
      <c r="L459" t="n">
        <v>0</v>
      </c>
      <c r="M459" t="n">
        <v>0</v>
      </c>
      <c r="N459" t="n">
        <v>0</v>
      </c>
      <c r="O459" t="n">
        <v>0</v>
      </c>
      <c r="P459" t="n">
        <v>0</v>
      </c>
      <c r="Q459" t="n">
        <v>0</v>
      </c>
      <c r="R459" t="n">
        <v>0</v>
      </c>
      <c r="S459" t="n">
        <v>0</v>
      </c>
      <c r="T459" t="n">
        <v>0</v>
      </c>
      <c r="U459" s="2" t="inlineStr"/>
    </row>
    <row r="460" ht="15" customHeight="1">
      <c r="A460" t="inlineStr">
        <is>
          <t>A 55990-2022</t>
        </is>
      </c>
      <c r="B460" t="inlineStr">
        <is>
          <t>avverkningsanmälan</t>
        </is>
      </c>
      <c r="C460" t="inlineStr">
        <is>
          <t>Föryngringsavverkning</t>
        </is>
      </c>
      <c r="D460" s="1" t="n">
        <v>44889</v>
      </c>
      <c r="E460" s="1" t="n">
        <v>46217</v>
      </c>
      <c r="F460" t="inlineStr">
        <is>
          <t>KALMAR LÄN</t>
        </is>
      </c>
      <c r="G460" t="inlineStr">
        <is>
          <t>HULTSFRED</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68824-2021</t>
        </is>
      </c>
      <c r="B461" t="inlineStr">
        <is>
          <t>avverkningsanmälan</t>
        </is>
      </c>
      <c r="C461" t="inlineStr">
        <is>
          <t>Föryngringsavverkning</t>
        </is>
      </c>
      <c r="D461" s="1" t="n">
        <v>44530</v>
      </c>
      <c r="E461" s="1" t="n">
        <v>46217</v>
      </c>
      <c r="F461" t="inlineStr">
        <is>
          <t>KALMAR LÄN</t>
        </is>
      </c>
      <c r="G461" t="inlineStr">
        <is>
          <t>HULTSFRED</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62043-2025</t>
        </is>
      </c>
      <c r="B462" t="inlineStr">
        <is>
          <t>avverkningsanmälan</t>
        </is>
      </c>
      <c r="C462" t="inlineStr">
        <is>
          <t>Föryngringsavverkning</t>
        </is>
      </c>
      <c r="D462" s="1" t="n">
        <v>46005</v>
      </c>
      <c r="E462" s="1" t="n">
        <v>46217</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54712-2021</t>
        </is>
      </c>
      <c r="B463" t="inlineStr">
        <is>
          <t>avverkningsanmälan</t>
        </is>
      </c>
      <c r="C463" t="inlineStr">
        <is>
          <t>Föryngringsavverkning</t>
        </is>
      </c>
      <c r="D463" s="1" t="n">
        <v>44473</v>
      </c>
      <c r="E463" s="1" t="n">
        <v>46217</v>
      </c>
      <c r="F463" t="inlineStr">
        <is>
          <t>KALMAR LÄN</t>
        </is>
      </c>
      <c r="G463" t="inlineStr">
        <is>
          <t>HULTSFRED</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48956-2024</t>
        </is>
      </c>
      <c r="B464" t="inlineStr">
        <is>
          <t>avverkningsanmälan</t>
        </is>
      </c>
      <c r="C464" t="inlineStr">
        <is>
          <t>Föryngringsavverkning</t>
        </is>
      </c>
      <c r="D464" s="1" t="n">
        <v>45594</v>
      </c>
      <c r="E464" s="1" t="n">
        <v>46217</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3403-2024</t>
        </is>
      </c>
      <c r="B465" t="inlineStr">
        <is>
          <t>avverkningsanmälan</t>
        </is>
      </c>
      <c r="C465" t="inlineStr">
        <is>
          <t>Föryngringsavverkning</t>
        </is>
      </c>
      <c r="D465" s="1" t="n">
        <v>45318</v>
      </c>
      <c r="E465" s="1" t="n">
        <v>46217</v>
      </c>
      <c r="F465" t="inlineStr">
        <is>
          <t>KALMAR LÄN</t>
        </is>
      </c>
      <c r="G465" t="inlineStr">
        <is>
          <t>HULTSFRED</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72708-2021</t>
        </is>
      </c>
      <c r="B466" t="inlineStr">
        <is>
          <t>avverkningsanmälan</t>
        </is>
      </c>
      <c r="C466" t="inlineStr">
        <is>
          <t>Föryngringsavverkning</t>
        </is>
      </c>
      <c r="D466" s="1" t="n">
        <v>44546</v>
      </c>
      <c r="E466" s="1" t="n">
        <v>46217</v>
      </c>
      <c r="F466" t="inlineStr">
        <is>
          <t>KALMAR LÄN</t>
        </is>
      </c>
      <c r="G466" t="inlineStr">
        <is>
          <t>HULTSFRED</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37994-2023</t>
        </is>
      </c>
      <c r="B467" t="inlineStr">
        <is>
          <t>avverkningsanmälan</t>
        </is>
      </c>
      <c r="C467" t="inlineStr">
        <is>
          <t>Föryngringsavverkning</t>
        </is>
      </c>
      <c r="D467" s="1" t="n">
        <v>45160</v>
      </c>
      <c r="E467" s="1" t="n">
        <v>46217</v>
      </c>
      <c r="F467" t="inlineStr">
        <is>
          <t>KALMAR LÄN</t>
        </is>
      </c>
      <c r="G467" t="inlineStr">
        <is>
          <t>HULTSFRED</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28644-2023</t>
        </is>
      </c>
      <c r="B468" t="inlineStr">
        <is>
          <t>avverkningsanmälan</t>
        </is>
      </c>
      <c r="C468" t="inlineStr">
        <is>
          <t>Föryngringsavverkning</t>
        </is>
      </c>
      <c r="D468" s="1" t="n">
        <v>45103</v>
      </c>
      <c r="E468" s="1" t="n">
        <v>46217</v>
      </c>
      <c r="F468" t="inlineStr">
        <is>
          <t>KALMAR LÄN</t>
        </is>
      </c>
      <c r="G468" t="inlineStr">
        <is>
          <t>HULTSFRED</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22232-2026</t>
        </is>
      </c>
      <c r="B469" t="inlineStr">
        <is>
          <t>avverkningsanmälan</t>
        </is>
      </c>
      <c r="C469" t="inlineStr">
        <is>
          <t>Föryngringsavverkning</t>
        </is>
      </c>
      <c r="D469" s="1" t="n">
        <v>46153</v>
      </c>
      <c r="E469" s="1" t="n">
        <v>46217</v>
      </c>
      <c r="F469" t="inlineStr">
        <is>
          <t>KALMAR LÄN</t>
        </is>
      </c>
      <c r="G469" t="inlineStr">
        <is>
          <t>HULTSFRED</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44257-2024</t>
        </is>
      </c>
      <c r="B470" t="inlineStr">
        <is>
          <t>avverkningsanmälan</t>
        </is>
      </c>
      <c r="C470" t="inlineStr">
        <is>
          <t>Föryngringsavverkning</t>
        </is>
      </c>
      <c r="D470" s="1" t="n">
        <v>45573</v>
      </c>
      <c r="E470" s="1" t="n">
        <v>46217</v>
      </c>
      <c r="F470" t="inlineStr">
        <is>
          <t>KALMAR LÄN</t>
        </is>
      </c>
      <c r="G470" t="inlineStr">
        <is>
          <t>HULTSFRED</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58868-2023</t>
        </is>
      </c>
      <c r="B471" t="inlineStr">
        <is>
          <t>avverkningsanmälan</t>
        </is>
      </c>
      <c r="C471" t="inlineStr">
        <is>
          <t>Föryngringsavverkning</t>
        </is>
      </c>
      <c r="D471" s="1" t="n">
        <v>45252</v>
      </c>
      <c r="E471" s="1" t="n">
        <v>46217</v>
      </c>
      <c r="F471" t="inlineStr">
        <is>
          <t>KALMAR LÄN</t>
        </is>
      </c>
      <c r="G471" t="inlineStr">
        <is>
          <t>HULTSFRED</t>
        </is>
      </c>
      <c r="H471" t="inlineStr">
        <is>
          <t>Kyrkan</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42747-2024</t>
        </is>
      </c>
      <c r="B472" t="inlineStr">
        <is>
          <t>avverkningsanmälan</t>
        </is>
      </c>
      <c r="C472" t="inlineStr">
        <is>
          <t>Föryngringsavverkning</t>
        </is>
      </c>
      <c r="D472" s="1" t="n">
        <v>45566</v>
      </c>
      <c r="E472" s="1" t="n">
        <v>46217</v>
      </c>
      <c r="F472" t="inlineStr">
        <is>
          <t>KALMAR LÄN</t>
        </is>
      </c>
      <c r="G472" t="inlineStr">
        <is>
          <t>HULTSFRED</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42749-2024</t>
        </is>
      </c>
      <c r="B473" t="inlineStr">
        <is>
          <t>avverkningsanmälan</t>
        </is>
      </c>
      <c r="C473" t="inlineStr">
        <is>
          <t>Föryngringsavverkning</t>
        </is>
      </c>
      <c r="D473" s="1" t="n">
        <v>45566</v>
      </c>
      <c r="E473" s="1" t="n">
        <v>46217</v>
      </c>
      <c r="F473" t="inlineStr">
        <is>
          <t>KALMAR LÄN</t>
        </is>
      </c>
      <c r="G473" t="inlineStr">
        <is>
          <t>HULTSFRED</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46476-2024</t>
        </is>
      </c>
      <c r="B474" t="inlineStr">
        <is>
          <t>avverkningsanmälan</t>
        </is>
      </c>
      <c r="C474" t="inlineStr">
        <is>
          <t>Avverkning för annat ändamål</t>
        </is>
      </c>
      <c r="D474" s="1" t="n">
        <v>45582</v>
      </c>
      <c r="E474" s="1" t="n">
        <v>46217</v>
      </c>
      <c r="F474" t="inlineStr">
        <is>
          <t>KALMAR LÄN</t>
        </is>
      </c>
      <c r="G474" t="inlineStr">
        <is>
          <t>HULTSFRED</t>
        </is>
      </c>
      <c r="H474" t="inlineStr">
        <is>
          <t>Sveaskog</t>
        </is>
      </c>
      <c r="I474" t="n">
        <v>0.3</v>
      </c>
      <c r="J474" t="n">
        <v>0</v>
      </c>
      <c r="K474" t="n">
        <v>0</v>
      </c>
      <c r="L474" t="n">
        <v>0</v>
      </c>
      <c r="M474" t="n">
        <v>0</v>
      </c>
      <c r="N474" t="n">
        <v>0</v>
      </c>
      <c r="O474" t="n">
        <v>0</v>
      </c>
      <c r="P474" t="n">
        <v>0</v>
      </c>
      <c r="Q474" t="n">
        <v>0</v>
      </c>
      <c r="R474" t="n">
        <v>0</v>
      </c>
      <c r="S474" t="n">
        <v>0</v>
      </c>
      <c r="T474" t="n">
        <v>0</v>
      </c>
      <c r="U474" s="2" t="inlineStr"/>
    </row>
    <row r="475" ht="15" customHeight="1">
      <c r="A475" t="inlineStr">
        <is>
          <t>A 6649-2023</t>
        </is>
      </c>
      <c r="B475" t="inlineStr">
        <is>
          <t>avverkningsanmälan</t>
        </is>
      </c>
      <c r="C475" t="inlineStr">
        <is>
          <t>Avverkning för annat ändamål</t>
        </is>
      </c>
      <c r="D475" s="1" t="n">
        <v>44966</v>
      </c>
      <c r="E475" s="1" t="n">
        <v>46217</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63153-2025</t>
        </is>
      </c>
      <c r="B476" t="inlineStr">
        <is>
          <t>avverkningsanmälan</t>
        </is>
      </c>
      <c r="C476" t="inlineStr">
        <is>
          <t>Föryngringsavverkning</t>
        </is>
      </c>
      <c r="D476" s="1" t="n">
        <v>46010</v>
      </c>
      <c r="E476" s="1" t="n">
        <v>46217</v>
      </c>
      <c r="F476" t="inlineStr">
        <is>
          <t>KALMAR LÄN</t>
        </is>
      </c>
      <c r="G476" t="inlineStr">
        <is>
          <t>HULTSFRED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15445-2023</t>
        </is>
      </c>
      <c r="B477" t="inlineStr">
        <is>
          <t>avverkningsanmälan</t>
        </is>
      </c>
      <c r="C477" t="inlineStr">
        <is>
          <t>Föryngringsavverkning</t>
        </is>
      </c>
      <c r="D477" s="1" t="n">
        <v>45016</v>
      </c>
      <c r="E477" s="1" t="n">
        <v>46217</v>
      </c>
      <c r="F477" t="inlineStr">
        <is>
          <t>KALMAR LÄN</t>
        </is>
      </c>
      <c r="G477" t="inlineStr">
        <is>
          <t>HULTSFRED</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11005-2025</t>
        </is>
      </c>
      <c r="B478" t="inlineStr">
        <is>
          <t>avverkningsanmälan</t>
        </is>
      </c>
      <c r="C478" t="inlineStr">
        <is>
          <t>Föryngringsavverkning</t>
        </is>
      </c>
      <c r="D478" s="1" t="n">
        <v>45723</v>
      </c>
      <c r="E478" s="1" t="n">
        <v>46217</v>
      </c>
      <c r="F478" t="inlineStr">
        <is>
          <t>KALMAR LÄN</t>
        </is>
      </c>
      <c r="G478" t="inlineStr">
        <is>
          <t>HULTSFRED</t>
        </is>
      </c>
      <c r="H478" t="inlineStr">
        <is>
          <t>Sveaskog</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9944-2025</t>
        </is>
      </c>
      <c r="B479" t="inlineStr">
        <is>
          <t>avverkningsanmälan</t>
        </is>
      </c>
      <c r="C479" t="inlineStr">
        <is>
          <t>Föryngringsavverkning</t>
        </is>
      </c>
      <c r="D479" s="1" t="n">
        <v>45719</v>
      </c>
      <c r="E479" s="1" t="n">
        <v>46217</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20969-2024</t>
        </is>
      </c>
      <c r="B480" t="inlineStr">
        <is>
          <t>avverkningsanmälan</t>
        </is>
      </c>
      <c r="C480" t="inlineStr">
        <is>
          <t>Föryngringsavverkning</t>
        </is>
      </c>
      <c r="D480" s="1" t="n">
        <v>45439</v>
      </c>
      <c r="E480" s="1" t="n">
        <v>46217</v>
      </c>
      <c r="F480" t="inlineStr">
        <is>
          <t>KALMAR LÄN</t>
        </is>
      </c>
      <c r="G480" t="inlineStr">
        <is>
          <t>HULTSFRED</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68803-2021</t>
        </is>
      </c>
      <c r="B481" t="inlineStr">
        <is>
          <t>avverkningsanmälan</t>
        </is>
      </c>
      <c r="C481" t="inlineStr">
        <is>
          <t>Föryngringsavverkning</t>
        </is>
      </c>
      <c r="D481" s="1" t="n">
        <v>44530</v>
      </c>
      <c r="E481" s="1" t="n">
        <v>46217</v>
      </c>
      <c r="F481" t="inlineStr">
        <is>
          <t>KALMAR LÄN</t>
        </is>
      </c>
      <c r="G481" t="inlineStr">
        <is>
          <t>HULTSFRED</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63935-2025</t>
        </is>
      </c>
      <c r="B482" t="inlineStr">
        <is>
          <t>avverkningsanmälan</t>
        </is>
      </c>
      <c r="C482" t="inlineStr">
        <is>
          <t>Föryngringsavverkning</t>
        </is>
      </c>
      <c r="D482" s="1" t="n">
        <v>46020</v>
      </c>
      <c r="E482" s="1" t="n">
        <v>46217</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44681-2023</t>
        </is>
      </c>
      <c r="B483" t="inlineStr">
        <is>
          <t>avverkningsanmälan</t>
        </is>
      </c>
      <c r="C483" t="inlineStr">
        <is>
          <t>Föryngringsavverkning</t>
        </is>
      </c>
      <c r="D483" s="1" t="n">
        <v>45189</v>
      </c>
      <c r="E483" s="1" t="n">
        <v>46217</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8198-2022</t>
        </is>
      </c>
      <c r="B484" t="inlineStr">
        <is>
          <t>avverkningsanmälan</t>
        </is>
      </c>
      <c r="C484" t="inlineStr">
        <is>
          <t>Föryngringsavverkning</t>
        </is>
      </c>
      <c r="D484" s="1" t="n">
        <v>44609</v>
      </c>
      <c r="E484" s="1" t="n">
        <v>46217</v>
      </c>
      <c r="F484" t="inlineStr">
        <is>
          <t>KALMAR LÄN</t>
        </is>
      </c>
      <c r="G484" t="inlineStr">
        <is>
          <t>HULTSFRED</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37281-2023</t>
        </is>
      </c>
      <c r="B485" t="inlineStr">
        <is>
          <t>avverkningsanmälan</t>
        </is>
      </c>
      <c r="C485" t="inlineStr">
        <is>
          <t>Föryngringsavverkning</t>
        </is>
      </c>
      <c r="D485" s="1" t="n">
        <v>45156</v>
      </c>
      <c r="E485" s="1" t="n">
        <v>46217</v>
      </c>
      <c r="F485" t="inlineStr">
        <is>
          <t>KALMAR LÄN</t>
        </is>
      </c>
      <c r="G485" t="inlineStr">
        <is>
          <t>HULTSFRED</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19050-2023</t>
        </is>
      </c>
      <c r="B486" t="inlineStr">
        <is>
          <t>avverkningsanmälan</t>
        </is>
      </c>
      <c r="C486" t="inlineStr">
        <is>
          <t>Föryngringsavverkning</t>
        </is>
      </c>
      <c r="D486" s="1" t="n">
        <v>45047</v>
      </c>
      <c r="E486" s="1" t="n">
        <v>46217</v>
      </c>
      <c r="F486" t="inlineStr">
        <is>
          <t>KALMAR LÄN</t>
        </is>
      </c>
      <c r="G486" t="inlineStr">
        <is>
          <t>HULTSFRED</t>
        </is>
      </c>
      <c r="I486" t="n">
        <v>4.7</v>
      </c>
      <c r="J486" t="n">
        <v>0</v>
      </c>
      <c r="K486" t="n">
        <v>0</v>
      </c>
      <c r="L486" t="n">
        <v>0</v>
      </c>
      <c r="M486" t="n">
        <v>0</v>
      </c>
      <c r="N486" t="n">
        <v>0</v>
      </c>
      <c r="O486" t="n">
        <v>0</v>
      </c>
      <c r="P486" t="n">
        <v>0</v>
      </c>
      <c r="Q486" t="n">
        <v>0</v>
      </c>
      <c r="R486" t="n">
        <v>0</v>
      </c>
      <c r="S486" t="n">
        <v>0</v>
      </c>
      <c r="T486" t="n">
        <v>0</v>
      </c>
      <c r="U486" s="2" t="inlineStr"/>
    </row>
    <row r="487" ht="15" customHeight="1">
      <c r="A487" t="inlineStr">
        <is>
          <t>A 1560-2026</t>
        </is>
      </c>
      <c r="B487" t="inlineStr">
        <is>
          <t>avverkningsanmälan</t>
        </is>
      </c>
      <c r="C487" t="inlineStr">
        <is>
          <t>Föryngringsavverkning</t>
        </is>
      </c>
      <c r="D487" s="1" t="n">
        <v>46034</v>
      </c>
      <c r="E487" s="1" t="n">
        <v>46217</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1507-2026</t>
        </is>
      </c>
      <c r="B488" t="inlineStr">
        <is>
          <t>avverkningsanmälan</t>
        </is>
      </c>
      <c r="C488" t="inlineStr">
        <is>
          <t>Föryngringsavverkning</t>
        </is>
      </c>
      <c r="D488" s="1" t="n">
        <v>46034</v>
      </c>
      <c r="E488" s="1" t="n">
        <v>46217</v>
      </c>
      <c r="F488" t="inlineStr">
        <is>
          <t>KALMAR LÄN</t>
        </is>
      </c>
      <c r="G488" t="inlineStr">
        <is>
          <t>HULTSFRED</t>
        </is>
      </c>
      <c r="I488" t="n">
        <v>2.9</v>
      </c>
      <c r="J488" t="n">
        <v>0</v>
      </c>
      <c r="K488" t="n">
        <v>0</v>
      </c>
      <c r="L488" t="n">
        <v>0</v>
      </c>
      <c r="M488" t="n">
        <v>0</v>
      </c>
      <c r="N488" t="n">
        <v>0</v>
      </c>
      <c r="O488" t="n">
        <v>0</v>
      </c>
      <c r="P488" t="n">
        <v>0</v>
      </c>
      <c r="Q488" t="n">
        <v>0</v>
      </c>
      <c r="R488" t="n">
        <v>0</v>
      </c>
      <c r="S488" t="n">
        <v>0</v>
      </c>
      <c r="T488" t="n">
        <v>0</v>
      </c>
      <c r="U488" s="2" t="inlineStr"/>
    </row>
    <row r="489" ht="15" customHeight="1">
      <c r="A489" t="inlineStr">
        <is>
          <t>A 2265-2026</t>
        </is>
      </c>
      <c r="B489" t="inlineStr">
        <is>
          <t>avverkningsanmälan</t>
        </is>
      </c>
      <c r="C489" t="inlineStr">
        <is>
          <t>Föryngringsavverkning</t>
        </is>
      </c>
      <c r="D489" s="1" t="n">
        <v>46034</v>
      </c>
      <c r="E489" s="1" t="n">
        <v>46217</v>
      </c>
      <c r="F489" t="inlineStr">
        <is>
          <t>KALMAR LÄN</t>
        </is>
      </c>
      <c r="G489" t="inlineStr">
        <is>
          <t>HULTSFRED</t>
        </is>
      </c>
      <c r="I489" t="n">
        <v>7.3</v>
      </c>
      <c r="J489" t="n">
        <v>0</v>
      </c>
      <c r="K489" t="n">
        <v>0</v>
      </c>
      <c r="L489" t="n">
        <v>0</v>
      </c>
      <c r="M489" t="n">
        <v>0</v>
      </c>
      <c r="N489" t="n">
        <v>0</v>
      </c>
      <c r="O489" t="n">
        <v>0</v>
      </c>
      <c r="P489" t="n">
        <v>0</v>
      </c>
      <c r="Q489" t="n">
        <v>0</v>
      </c>
      <c r="R489" t="n">
        <v>0</v>
      </c>
      <c r="S489" t="n">
        <v>0</v>
      </c>
      <c r="T489" t="n">
        <v>0</v>
      </c>
      <c r="U489" s="2" t="inlineStr"/>
    </row>
    <row r="490" ht="15" customHeight="1">
      <c r="A490" t="inlineStr">
        <is>
          <t>A 1423-2026</t>
        </is>
      </c>
      <c r="B490" t="inlineStr">
        <is>
          <t>avverkningsanmälan</t>
        </is>
      </c>
      <c r="C490" t="inlineStr">
        <is>
          <t>Föryngringsavverkning</t>
        </is>
      </c>
      <c r="D490" s="1" t="n">
        <v>46031</v>
      </c>
      <c r="E490" s="1" t="n">
        <v>46217</v>
      </c>
      <c r="F490" t="inlineStr">
        <is>
          <t>KALMAR LÄN</t>
        </is>
      </c>
      <c r="G490" t="inlineStr">
        <is>
          <t>HULTSFRED</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25246-2023</t>
        </is>
      </c>
      <c r="B491" t="inlineStr">
        <is>
          <t>avverkningsanmälan</t>
        </is>
      </c>
      <c r="C491" t="inlineStr">
        <is>
          <t>Föryngringsavverkning</t>
        </is>
      </c>
      <c r="D491" s="1" t="n">
        <v>45086</v>
      </c>
      <c r="E491" s="1" t="n">
        <v>46217</v>
      </c>
      <c r="F491" t="inlineStr">
        <is>
          <t>KALMAR LÄN</t>
        </is>
      </c>
      <c r="G491" t="inlineStr">
        <is>
          <t>HULTSFRED</t>
        </is>
      </c>
      <c r="I491" t="n">
        <v>3.8</v>
      </c>
      <c r="J491" t="n">
        <v>0</v>
      </c>
      <c r="K491" t="n">
        <v>0</v>
      </c>
      <c r="L491" t="n">
        <v>0</v>
      </c>
      <c r="M491" t="n">
        <v>0</v>
      </c>
      <c r="N491" t="n">
        <v>0</v>
      </c>
      <c r="O491" t="n">
        <v>0</v>
      </c>
      <c r="P491" t="n">
        <v>0</v>
      </c>
      <c r="Q491" t="n">
        <v>0</v>
      </c>
      <c r="R491" t="n">
        <v>0</v>
      </c>
      <c r="S491" t="n">
        <v>0</v>
      </c>
      <c r="T491" t="n">
        <v>0</v>
      </c>
      <c r="U491" s="2" t="inlineStr"/>
    </row>
    <row r="492" ht="15" customHeight="1">
      <c r="A492" t="inlineStr">
        <is>
          <t>A 1499-2026</t>
        </is>
      </c>
      <c r="B492" t="inlineStr">
        <is>
          <t>avverkningsanmälan</t>
        </is>
      </c>
      <c r="C492" t="inlineStr">
        <is>
          <t>Föryngringsavverkning</t>
        </is>
      </c>
      <c r="D492" s="1" t="n">
        <v>46034</v>
      </c>
      <c r="E492" s="1" t="n">
        <v>46217</v>
      </c>
      <c r="F492" t="inlineStr">
        <is>
          <t>KALMAR LÄN</t>
        </is>
      </c>
      <c r="G492" t="inlineStr">
        <is>
          <t>HULTSFRED</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1852-2026</t>
        </is>
      </c>
      <c r="B493" t="inlineStr">
        <is>
          <t>avverkningsanmälan</t>
        </is>
      </c>
      <c r="C493" t="inlineStr">
        <is>
          <t>Föryngringsavverkning</t>
        </is>
      </c>
      <c r="D493" s="1" t="n">
        <v>46035</v>
      </c>
      <c r="E493" s="1" t="n">
        <v>46217</v>
      </c>
      <c r="F493" t="inlineStr">
        <is>
          <t>KALMAR LÄN</t>
        </is>
      </c>
      <c r="G493" t="inlineStr">
        <is>
          <t>HULTSFRED</t>
        </is>
      </c>
      <c r="I493" t="n">
        <v>3.2</v>
      </c>
      <c r="J493" t="n">
        <v>0</v>
      </c>
      <c r="K493" t="n">
        <v>0</v>
      </c>
      <c r="L493" t="n">
        <v>0</v>
      </c>
      <c r="M493" t="n">
        <v>0</v>
      </c>
      <c r="N493" t="n">
        <v>0</v>
      </c>
      <c r="O493" t="n">
        <v>0</v>
      </c>
      <c r="P493" t="n">
        <v>0</v>
      </c>
      <c r="Q493" t="n">
        <v>0</v>
      </c>
      <c r="R493" t="n">
        <v>0</v>
      </c>
      <c r="S493" t="n">
        <v>0</v>
      </c>
      <c r="T493" t="n">
        <v>0</v>
      </c>
      <c r="U493" s="2" t="inlineStr"/>
    </row>
    <row r="494" ht="15" customHeight="1">
      <c r="A494" t="inlineStr">
        <is>
          <t>A 62044-2025</t>
        </is>
      </c>
      <c r="B494" t="inlineStr">
        <is>
          <t>avverkningsanmälan</t>
        </is>
      </c>
      <c r="C494" t="inlineStr">
        <is>
          <t>Föryngringsavverkning</t>
        </is>
      </c>
      <c r="D494" s="1" t="n">
        <v>46005</v>
      </c>
      <c r="E494" s="1" t="n">
        <v>46217</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48320-2023</t>
        </is>
      </c>
      <c r="B495" t="inlineStr">
        <is>
          <t>avverkningsanmälan</t>
        </is>
      </c>
      <c r="C495" t="inlineStr">
        <is>
          <t>Föryngringsavverkning</t>
        </is>
      </c>
      <c r="D495" s="1" t="n">
        <v>45205</v>
      </c>
      <c r="E495" s="1" t="n">
        <v>46217</v>
      </c>
      <c r="F495" t="inlineStr">
        <is>
          <t>KALMAR LÄN</t>
        </is>
      </c>
      <c r="G495" t="inlineStr">
        <is>
          <t>HULTSFRED</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3758-2025</t>
        </is>
      </c>
      <c r="B496" t="inlineStr">
        <is>
          <t>avverkningsanmälan</t>
        </is>
      </c>
      <c r="C496" t="inlineStr">
        <is>
          <t>Föryngringsavverkning</t>
        </is>
      </c>
      <c r="D496" s="1" t="n">
        <v>45681</v>
      </c>
      <c r="E496" s="1" t="n">
        <v>46217</v>
      </c>
      <c r="F496" t="inlineStr">
        <is>
          <t>KALMAR LÄN</t>
        </is>
      </c>
      <c r="G496" t="inlineStr">
        <is>
          <t>HULTSFRED</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39944-2023</t>
        </is>
      </c>
      <c r="B497" t="inlineStr">
        <is>
          <t>avverkningsanmälan</t>
        </is>
      </c>
      <c r="C497" t="inlineStr">
        <is>
          <t>Föryngringsavverkning</t>
        </is>
      </c>
      <c r="D497" s="1" t="n">
        <v>45168</v>
      </c>
      <c r="E497" s="1" t="n">
        <v>46217</v>
      </c>
      <c r="F497" t="inlineStr">
        <is>
          <t>KALMAR LÄN</t>
        </is>
      </c>
      <c r="G497" t="inlineStr">
        <is>
          <t>HULTSFRED</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19932-2023</t>
        </is>
      </c>
      <c r="B498" t="inlineStr">
        <is>
          <t>avverkningsanmälan</t>
        </is>
      </c>
      <c r="C498" t="inlineStr">
        <is>
          <t>Föryngringsavverkning</t>
        </is>
      </c>
      <c r="D498" s="1" t="n">
        <v>45054</v>
      </c>
      <c r="E498" s="1" t="n">
        <v>46217</v>
      </c>
      <c r="F498" t="inlineStr">
        <is>
          <t>KALMAR LÄN</t>
        </is>
      </c>
      <c r="G498" t="inlineStr">
        <is>
          <t>HULTSFRED</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18055-2024</t>
        </is>
      </c>
      <c r="B499" t="inlineStr">
        <is>
          <t>avverkningsanmälan</t>
        </is>
      </c>
      <c r="C499" t="inlineStr">
        <is>
          <t>Föryngringsavverkning</t>
        </is>
      </c>
      <c r="D499" s="1" t="n">
        <v>45420</v>
      </c>
      <c r="E499" s="1" t="n">
        <v>46217</v>
      </c>
      <c r="F499" t="inlineStr">
        <is>
          <t>KALMAR LÄN</t>
        </is>
      </c>
      <c r="G499" t="inlineStr">
        <is>
          <t>HULTSFRED</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40334-2023</t>
        </is>
      </c>
      <c r="B500" t="inlineStr">
        <is>
          <t>avverkningsanmälan</t>
        </is>
      </c>
      <c r="C500" t="inlineStr">
        <is>
          <t>Föryngringsavverkning</t>
        </is>
      </c>
      <c r="D500" s="1" t="n">
        <v>45169</v>
      </c>
      <c r="E500" s="1" t="n">
        <v>46217</v>
      </c>
      <c r="F500" t="inlineStr">
        <is>
          <t>KALMAR LÄN</t>
        </is>
      </c>
      <c r="G500" t="inlineStr">
        <is>
          <t>HULTSFRED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6560-2024</t>
        </is>
      </c>
      <c r="B501" t="inlineStr">
        <is>
          <t>avverkningsanmälan</t>
        </is>
      </c>
      <c r="C501" t="inlineStr">
        <is>
          <t>Föryngringsavverkning</t>
        </is>
      </c>
      <c r="D501" s="1" t="n">
        <v>45341</v>
      </c>
      <c r="E501" s="1" t="n">
        <v>46217</v>
      </c>
      <c r="F501" t="inlineStr">
        <is>
          <t>KALMAR LÄN</t>
        </is>
      </c>
      <c r="G501" t="inlineStr">
        <is>
          <t>HULTSFRED</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3891-2026</t>
        </is>
      </c>
      <c r="B502" t="inlineStr">
        <is>
          <t>avverkningsanmälan</t>
        </is>
      </c>
      <c r="C502" t="inlineStr">
        <is>
          <t>Föryngringsavverkning</t>
        </is>
      </c>
      <c r="D502" s="1" t="n">
        <v>46043</v>
      </c>
      <c r="E502" s="1" t="n">
        <v>46217</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3874-2026</t>
        </is>
      </c>
      <c r="B503" t="inlineStr">
        <is>
          <t>avverkningsanmälan</t>
        </is>
      </c>
      <c r="C503" t="inlineStr">
        <is>
          <t>Föryngringsavverkning</t>
        </is>
      </c>
      <c r="D503" s="1" t="n">
        <v>46043</v>
      </c>
      <c r="E503" s="1" t="n">
        <v>46217</v>
      </c>
      <c r="F503" t="inlineStr">
        <is>
          <t>KALMAR LÄN</t>
        </is>
      </c>
      <c r="G503" t="inlineStr">
        <is>
          <t>HULTSFRED</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3873-2026</t>
        </is>
      </c>
      <c r="B504" t="inlineStr">
        <is>
          <t>avverkningsanmälan</t>
        </is>
      </c>
      <c r="C504" t="inlineStr">
        <is>
          <t>Föryngringsavverkning</t>
        </is>
      </c>
      <c r="D504" s="1" t="n">
        <v>46043</v>
      </c>
      <c r="E504" s="1" t="n">
        <v>46217</v>
      </c>
      <c r="F504" t="inlineStr">
        <is>
          <t>KALMAR LÄN</t>
        </is>
      </c>
      <c r="G504" t="inlineStr">
        <is>
          <t>HULTSFRED</t>
        </is>
      </c>
      <c r="I504" t="n">
        <v>3.8</v>
      </c>
      <c r="J504" t="n">
        <v>0</v>
      </c>
      <c r="K504" t="n">
        <v>0</v>
      </c>
      <c r="L504" t="n">
        <v>0</v>
      </c>
      <c r="M504" t="n">
        <v>0</v>
      </c>
      <c r="N504" t="n">
        <v>0</v>
      </c>
      <c r="O504" t="n">
        <v>0</v>
      </c>
      <c r="P504" t="n">
        <v>0</v>
      </c>
      <c r="Q504" t="n">
        <v>0</v>
      </c>
      <c r="R504" t="n">
        <v>0</v>
      </c>
      <c r="S504" t="n">
        <v>0</v>
      </c>
      <c r="T504" t="n">
        <v>0</v>
      </c>
      <c r="U504" s="2" t="inlineStr"/>
    </row>
    <row r="505" ht="15" customHeight="1">
      <c r="A505" t="inlineStr">
        <is>
          <t>A 4116-2026</t>
        </is>
      </c>
      <c r="B505" t="inlineStr">
        <is>
          <t>avverkningsanmälan</t>
        </is>
      </c>
      <c r="C505" t="inlineStr">
        <is>
          <t>Föryngringsavverkning</t>
        </is>
      </c>
      <c r="D505" s="1" t="n">
        <v>46044</v>
      </c>
      <c r="E505" s="1" t="n">
        <v>46217</v>
      </c>
      <c r="F505" t="inlineStr">
        <is>
          <t>KALMAR LÄN</t>
        </is>
      </c>
      <c r="G505" t="inlineStr">
        <is>
          <t>HULTSFRED</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4121-2026</t>
        </is>
      </c>
      <c r="B506" t="inlineStr">
        <is>
          <t>avverkningsanmälan</t>
        </is>
      </c>
      <c r="C506" t="inlineStr">
        <is>
          <t>Föryngringsavverkning</t>
        </is>
      </c>
      <c r="D506" s="1" t="n">
        <v>46044</v>
      </c>
      <c r="E506" s="1" t="n">
        <v>46217</v>
      </c>
      <c r="F506" t="inlineStr">
        <is>
          <t>KALMAR LÄN</t>
        </is>
      </c>
      <c r="G506" t="inlineStr">
        <is>
          <t>HULTSFRED</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4083-2026</t>
        </is>
      </c>
      <c r="B507" t="inlineStr">
        <is>
          <t>avverkningsanmälan</t>
        </is>
      </c>
      <c r="C507" t="inlineStr">
        <is>
          <t>Föryngringsavverkning</t>
        </is>
      </c>
      <c r="D507" s="1" t="n">
        <v>46044</v>
      </c>
      <c r="E507" s="1" t="n">
        <v>46217</v>
      </c>
      <c r="F507" t="inlineStr">
        <is>
          <t>KALMAR LÄN</t>
        </is>
      </c>
      <c r="G507" t="inlineStr">
        <is>
          <t>HULTSFRED</t>
        </is>
      </c>
      <c r="I507" t="n">
        <v>7.6</v>
      </c>
      <c r="J507" t="n">
        <v>0</v>
      </c>
      <c r="K507" t="n">
        <v>0</v>
      </c>
      <c r="L507" t="n">
        <v>0</v>
      </c>
      <c r="M507" t="n">
        <v>0</v>
      </c>
      <c r="N507" t="n">
        <v>0</v>
      </c>
      <c r="O507" t="n">
        <v>0</v>
      </c>
      <c r="P507" t="n">
        <v>0</v>
      </c>
      <c r="Q507" t="n">
        <v>0</v>
      </c>
      <c r="R507" t="n">
        <v>0</v>
      </c>
      <c r="S507" t="n">
        <v>0</v>
      </c>
      <c r="T507" t="n">
        <v>0</v>
      </c>
      <c r="U507" s="2" t="inlineStr"/>
    </row>
    <row r="508" ht="15" customHeight="1">
      <c r="A508" t="inlineStr">
        <is>
          <t>A 4113-2026</t>
        </is>
      </c>
      <c r="B508" t="inlineStr">
        <is>
          <t>avverkningsanmälan</t>
        </is>
      </c>
      <c r="C508" t="inlineStr">
        <is>
          <t>Föryngringsavverkning</t>
        </is>
      </c>
      <c r="D508" s="1" t="n">
        <v>46044</v>
      </c>
      <c r="E508" s="1" t="n">
        <v>46217</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15270-2025</t>
        </is>
      </c>
      <c r="B509" t="inlineStr">
        <is>
          <t>avverkningsanmälan</t>
        </is>
      </c>
      <c r="C509" t="inlineStr">
        <is>
          <t>Föryngringsavverkning</t>
        </is>
      </c>
      <c r="D509" s="1" t="n">
        <v>45744</v>
      </c>
      <c r="E509" s="1" t="n">
        <v>46217</v>
      </c>
      <c r="F509" t="inlineStr">
        <is>
          <t>KALMAR LÄN</t>
        </is>
      </c>
      <c r="G509" t="inlineStr">
        <is>
          <t>HULTSFRED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26909-2022</t>
        </is>
      </c>
      <c r="B510" t="inlineStr">
        <is>
          <t>avverkningsanmälan</t>
        </is>
      </c>
      <c r="C510" t="inlineStr">
        <is>
          <t>Föryngringsavverkning</t>
        </is>
      </c>
      <c r="D510" s="1" t="n">
        <v>44740</v>
      </c>
      <c r="E510" s="1" t="n">
        <v>46217</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s="2" t="inlineStr"/>
    </row>
    <row r="511" ht="15" customHeight="1">
      <c r="A511" t="inlineStr">
        <is>
          <t>A 4939-2026</t>
        </is>
      </c>
      <c r="B511" t="inlineStr">
        <is>
          <t>avverkningsanmälan</t>
        </is>
      </c>
      <c r="C511" t="inlineStr">
        <is>
          <t>Föryngringsavverkning</t>
        </is>
      </c>
      <c r="D511" s="1" t="n">
        <v>46048</v>
      </c>
      <c r="E511" s="1" t="n">
        <v>46217</v>
      </c>
      <c r="F511" t="inlineStr">
        <is>
          <t>KALMAR LÄN</t>
        </is>
      </c>
      <c r="G511" t="inlineStr">
        <is>
          <t>HULTSFRED</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4940-2026</t>
        </is>
      </c>
      <c r="B512" t="inlineStr">
        <is>
          <t>avverkningsanmälan</t>
        </is>
      </c>
      <c r="C512" t="inlineStr">
        <is>
          <t>Föryngringsavverkning</t>
        </is>
      </c>
      <c r="D512" s="1" t="n">
        <v>46048</v>
      </c>
      <c r="E512" s="1" t="n">
        <v>46217</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4941-2026</t>
        </is>
      </c>
      <c r="B513" t="inlineStr">
        <is>
          <t>avverkningsanmälan</t>
        </is>
      </c>
      <c r="C513" t="inlineStr">
        <is>
          <t>Föryngringsavverkning</t>
        </is>
      </c>
      <c r="D513" s="1" t="n">
        <v>46048</v>
      </c>
      <c r="E513" s="1" t="n">
        <v>46217</v>
      </c>
      <c r="F513" t="inlineStr">
        <is>
          <t>KALMAR LÄN</t>
        </is>
      </c>
      <c r="G513" t="inlineStr">
        <is>
          <t>HULTSFRED</t>
        </is>
      </c>
      <c r="I513" t="n">
        <v>4.5</v>
      </c>
      <c r="J513" t="n">
        <v>0</v>
      </c>
      <c r="K513" t="n">
        <v>0</v>
      </c>
      <c r="L513" t="n">
        <v>0</v>
      </c>
      <c r="M513" t="n">
        <v>0</v>
      </c>
      <c r="N513" t="n">
        <v>0</v>
      </c>
      <c r="O513" t="n">
        <v>0</v>
      </c>
      <c r="P513" t="n">
        <v>0</v>
      </c>
      <c r="Q513" t="n">
        <v>0</v>
      </c>
      <c r="R513" t="n">
        <v>0</v>
      </c>
      <c r="S513" t="n">
        <v>0</v>
      </c>
      <c r="T513" t="n">
        <v>0</v>
      </c>
      <c r="U513" s="2" t="inlineStr"/>
    </row>
    <row r="514" ht="15" customHeight="1">
      <c r="A514" t="inlineStr">
        <is>
          <t>A 4938-2026</t>
        </is>
      </c>
      <c r="B514" t="inlineStr">
        <is>
          <t>avverkningsanmälan</t>
        </is>
      </c>
      <c r="C514" t="inlineStr">
        <is>
          <t>Föryngringsavverkning</t>
        </is>
      </c>
      <c r="D514" s="1" t="n">
        <v>46048</v>
      </c>
      <c r="E514" s="1" t="n">
        <v>46217</v>
      </c>
      <c r="F514" t="inlineStr">
        <is>
          <t>KALMAR LÄN</t>
        </is>
      </c>
      <c r="G514" t="inlineStr">
        <is>
          <t>HULTSFRED</t>
        </is>
      </c>
      <c r="I514" t="n">
        <v>4.5</v>
      </c>
      <c r="J514" t="n">
        <v>0</v>
      </c>
      <c r="K514" t="n">
        <v>0</v>
      </c>
      <c r="L514" t="n">
        <v>0</v>
      </c>
      <c r="M514" t="n">
        <v>0</v>
      </c>
      <c r="N514" t="n">
        <v>0</v>
      </c>
      <c r="O514" t="n">
        <v>0</v>
      </c>
      <c r="P514" t="n">
        <v>0</v>
      </c>
      <c r="Q514" t="n">
        <v>0</v>
      </c>
      <c r="R514" t="n">
        <v>0</v>
      </c>
      <c r="S514" t="n">
        <v>0</v>
      </c>
      <c r="T514" t="n">
        <v>0</v>
      </c>
      <c r="U514" s="2" t="inlineStr"/>
    </row>
    <row r="515" ht="15" customHeight="1">
      <c r="A515" t="inlineStr">
        <is>
          <t>A 21619-2023</t>
        </is>
      </c>
      <c r="B515" t="inlineStr">
        <is>
          <t>avverkningsanmälan</t>
        </is>
      </c>
      <c r="C515" t="inlineStr">
        <is>
          <t>Föryngringsavverkning</t>
        </is>
      </c>
      <c r="D515" s="1" t="n">
        <v>45063</v>
      </c>
      <c r="E515" s="1" t="n">
        <v>46217</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5564-2026</t>
        </is>
      </c>
      <c r="B516" t="inlineStr">
        <is>
          <t>avverkningsanmälan</t>
        </is>
      </c>
      <c r="C516" t="inlineStr">
        <is>
          <t>Föryngringsavverkning</t>
        </is>
      </c>
      <c r="D516" s="1" t="n">
        <v>46050</v>
      </c>
      <c r="E516" s="1" t="n">
        <v>46217</v>
      </c>
      <c r="F516" t="inlineStr">
        <is>
          <t>KALMAR LÄN</t>
        </is>
      </c>
      <c r="G516" t="inlineStr">
        <is>
          <t>HULTSFRED</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5566-2026</t>
        </is>
      </c>
      <c r="B517" t="inlineStr">
        <is>
          <t>avverkningsanmälan</t>
        </is>
      </c>
      <c r="C517" t="inlineStr">
        <is>
          <t>Föryngringsavverkning</t>
        </is>
      </c>
      <c r="D517" s="1" t="n">
        <v>46050</v>
      </c>
      <c r="E517" s="1" t="n">
        <v>46217</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56358-2024</t>
        </is>
      </c>
      <c r="B518" t="inlineStr">
        <is>
          <t>avverkningsanmälan</t>
        </is>
      </c>
      <c r="C518" t="inlineStr">
        <is>
          <t>Föryngringsavverkning</t>
        </is>
      </c>
      <c r="D518" s="1" t="n">
        <v>45624</v>
      </c>
      <c r="E518" s="1" t="n">
        <v>46217</v>
      </c>
      <c r="F518" t="inlineStr">
        <is>
          <t>KALMAR LÄN</t>
        </is>
      </c>
      <c r="G518" t="inlineStr">
        <is>
          <t>HULTSFRED</t>
        </is>
      </c>
      <c r="I518" t="n">
        <v>5.1</v>
      </c>
      <c r="J518" t="n">
        <v>0</v>
      </c>
      <c r="K518" t="n">
        <v>0</v>
      </c>
      <c r="L518" t="n">
        <v>0</v>
      </c>
      <c r="M518" t="n">
        <v>0</v>
      </c>
      <c r="N518" t="n">
        <v>0</v>
      </c>
      <c r="O518" t="n">
        <v>0</v>
      </c>
      <c r="P518" t="n">
        <v>0</v>
      </c>
      <c r="Q518" t="n">
        <v>0</v>
      </c>
      <c r="R518" t="n">
        <v>0</v>
      </c>
      <c r="S518" t="n">
        <v>0</v>
      </c>
      <c r="T518" t="n">
        <v>0</v>
      </c>
      <c r="U518" s="2" t="inlineStr"/>
    </row>
    <row r="519" ht="15" customHeight="1">
      <c r="A519" t="inlineStr">
        <is>
          <t>A 6028-2026</t>
        </is>
      </c>
      <c r="B519" t="inlineStr">
        <is>
          <t>avverkningsanmälan</t>
        </is>
      </c>
      <c r="C519" t="inlineStr">
        <is>
          <t>Föryngringsavverkning</t>
        </is>
      </c>
      <c r="D519" s="1" t="n">
        <v>46052</v>
      </c>
      <c r="E519" s="1" t="n">
        <v>46217</v>
      </c>
      <c r="F519" t="inlineStr">
        <is>
          <t>KALMAR LÄN</t>
        </is>
      </c>
      <c r="G519" t="inlineStr">
        <is>
          <t>HULTSFRED</t>
        </is>
      </c>
      <c r="I519" t="n">
        <v>4.7</v>
      </c>
      <c r="J519" t="n">
        <v>0</v>
      </c>
      <c r="K519" t="n">
        <v>0</v>
      </c>
      <c r="L519" t="n">
        <v>0</v>
      </c>
      <c r="M519" t="n">
        <v>0</v>
      </c>
      <c r="N519" t="n">
        <v>0</v>
      </c>
      <c r="O519" t="n">
        <v>0</v>
      </c>
      <c r="P519" t="n">
        <v>0</v>
      </c>
      <c r="Q519" t="n">
        <v>0</v>
      </c>
      <c r="R519" t="n">
        <v>0</v>
      </c>
      <c r="S519" t="n">
        <v>0</v>
      </c>
      <c r="T519" t="n">
        <v>0</v>
      </c>
      <c r="U519" s="2" t="inlineStr"/>
    </row>
    <row r="520" ht="15" customHeight="1">
      <c r="A520" t="inlineStr">
        <is>
          <t>A 5565-2026</t>
        </is>
      </c>
      <c r="B520" t="inlineStr">
        <is>
          <t>avverkningsanmälan</t>
        </is>
      </c>
      <c r="C520" t="inlineStr">
        <is>
          <t>Föryngringsavverkning</t>
        </is>
      </c>
      <c r="D520" s="1" t="n">
        <v>46050</v>
      </c>
      <c r="E520" s="1" t="n">
        <v>46217</v>
      </c>
      <c r="F520" t="inlineStr">
        <is>
          <t>KALMAR LÄN</t>
        </is>
      </c>
      <c r="G520" t="inlineStr">
        <is>
          <t>HULTSFRED</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31812-2025</t>
        </is>
      </c>
      <c r="B521" t="inlineStr">
        <is>
          <t>avverkningsanmälan</t>
        </is>
      </c>
      <c r="C521" t="inlineStr">
        <is>
          <t>Föryngringsavverkning</t>
        </is>
      </c>
      <c r="D521" s="1" t="n">
        <v>45834</v>
      </c>
      <c r="E521" s="1" t="n">
        <v>46217</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45660-2023</t>
        </is>
      </c>
      <c r="B522" t="inlineStr">
        <is>
          <t>avverkningsanmälan</t>
        </is>
      </c>
      <c r="C522" t="inlineStr">
        <is>
          <t>Föryngringsavverkning</t>
        </is>
      </c>
      <c r="D522" s="1" t="n">
        <v>45194</v>
      </c>
      <c r="E522" s="1" t="n">
        <v>46217</v>
      </c>
      <c r="F522" t="inlineStr">
        <is>
          <t>KALMAR LÄN</t>
        </is>
      </c>
      <c r="G522" t="inlineStr">
        <is>
          <t>HULTSFRED</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7226-2026</t>
        </is>
      </c>
      <c r="B523" t="inlineStr">
        <is>
          <t>avverkningsanmälan</t>
        </is>
      </c>
      <c r="C523" t="inlineStr">
        <is>
          <t>Föryngringsavverkning</t>
        </is>
      </c>
      <c r="D523" s="1" t="n">
        <v>46058</v>
      </c>
      <c r="E523" s="1" t="n">
        <v>46217</v>
      </c>
      <c r="F523" t="inlineStr">
        <is>
          <t>KALMAR LÄN</t>
        </is>
      </c>
      <c r="G523" t="inlineStr">
        <is>
          <t>HULTSFRED</t>
        </is>
      </c>
      <c r="I523" t="n">
        <v>5.2</v>
      </c>
      <c r="J523" t="n">
        <v>0</v>
      </c>
      <c r="K523" t="n">
        <v>0</v>
      </c>
      <c r="L523" t="n">
        <v>0</v>
      </c>
      <c r="M523" t="n">
        <v>0</v>
      </c>
      <c r="N523" t="n">
        <v>0</v>
      </c>
      <c r="O523" t="n">
        <v>0</v>
      </c>
      <c r="P523" t="n">
        <v>0</v>
      </c>
      <c r="Q523" t="n">
        <v>0</v>
      </c>
      <c r="R523" t="n">
        <v>0</v>
      </c>
      <c r="S523" t="n">
        <v>0</v>
      </c>
      <c r="T523" t="n">
        <v>0</v>
      </c>
      <c r="U523" s="2" t="inlineStr"/>
    </row>
    <row r="524" ht="15" customHeight="1">
      <c r="A524" t="inlineStr">
        <is>
          <t>A 7208-2026</t>
        </is>
      </c>
      <c r="B524" t="inlineStr">
        <is>
          <t>avverkningsanmälan</t>
        </is>
      </c>
      <c r="C524" t="inlineStr">
        <is>
          <t>Avverkning för annat ändamål</t>
        </is>
      </c>
      <c r="D524" s="1" t="n">
        <v>46058</v>
      </c>
      <c r="E524" s="1" t="n">
        <v>46217</v>
      </c>
      <c r="F524" t="inlineStr">
        <is>
          <t>KALMAR LÄN</t>
        </is>
      </c>
      <c r="G524" t="inlineStr">
        <is>
          <t>HULTSFRED</t>
        </is>
      </c>
      <c r="I524" t="n">
        <v>7.7</v>
      </c>
      <c r="J524" t="n">
        <v>0</v>
      </c>
      <c r="K524" t="n">
        <v>0</v>
      </c>
      <c r="L524" t="n">
        <v>0</v>
      </c>
      <c r="M524" t="n">
        <v>0</v>
      </c>
      <c r="N524" t="n">
        <v>0</v>
      </c>
      <c r="O524" t="n">
        <v>0</v>
      </c>
      <c r="P524" t="n">
        <v>0</v>
      </c>
      <c r="Q524" t="n">
        <v>0</v>
      </c>
      <c r="R524" t="n">
        <v>0</v>
      </c>
      <c r="S524" t="n">
        <v>0</v>
      </c>
      <c r="T524" t="n">
        <v>0</v>
      </c>
      <c r="U524" s="2" t="inlineStr"/>
    </row>
    <row r="525" ht="15" customHeight="1">
      <c r="A525" t="inlineStr">
        <is>
          <t>A 7306-2026</t>
        </is>
      </c>
      <c r="B525" t="inlineStr">
        <is>
          <t>avverkningsanmälan</t>
        </is>
      </c>
      <c r="C525" t="inlineStr">
        <is>
          <t>Föryngringsavverkning</t>
        </is>
      </c>
      <c r="D525" s="1" t="n">
        <v>46058</v>
      </c>
      <c r="E525" s="1" t="n">
        <v>46217</v>
      </c>
      <c r="F525" t="inlineStr">
        <is>
          <t>KALMAR LÄN</t>
        </is>
      </c>
      <c r="G525" t="inlineStr">
        <is>
          <t>HULTSFRED</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7330-2026</t>
        </is>
      </c>
      <c r="B526" t="inlineStr">
        <is>
          <t>avverkningsanmälan</t>
        </is>
      </c>
      <c r="C526" t="inlineStr">
        <is>
          <t>Föryngringsavverkning</t>
        </is>
      </c>
      <c r="D526" s="1" t="n">
        <v>46058</v>
      </c>
      <c r="E526" s="1" t="n">
        <v>46217</v>
      </c>
      <c r="F526" t="inlineStr">
        <is>
          <t>KALMAR LÄN</t>
        </is>
      </c>
      <c r="G526" t="inlineStr">
        <is>
          <t>HULTSFRED</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7794-2026</t>
        </is>
      </c>
      <c r="B527" t="inlineStr">
        <is>
          <t>avverkningsanmälan</t>
        </is>
      </c>
      <c r="C527" t="inlineStr">
        <is>
          <t>Föryngringsavverkning</t>
        </is>
      </c>
      <c r="D527" s="1" t="n">
        <v>46062</v>
      </c>
      <c r="E527" s="1" t="n">
        <v>46217</v>
      </c>
      <c r="F527" t="inlineStr">
        <is>
          <t>KALMAR LÄN</t>
        </is>
      </c>
      <c r="G527" t="inlineStr">
        <is>
          <t>HULTSFRED</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72860-2021</t>
        </is>
      </c>
      <c r="B528" t="inlineStr">
        <is>
          <t>avverkningsanmälan</t>
        </is>
      </c>
      <c r="C528" t="inlineStr">
        <is>
          <t>Föryngringsavverkning</t>
        </is>
      </c>
      <c r="D528" s="1" t="n">
        <v>44547</v>
      </c>
      <c r="E528" s="1" t="n">
        <v>46217</v>
      </c>
      <c r="F528" t="inlineStr">
        <is>
          <t>KALMAR LÄN</t>
        </is>
      </c>
      <c r="G528" t="inlineStr">
        <is>
          <t>HULTSFRED</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8115-2026</t>
        </is>
      </c>
      <c r="B529" t="inlineStr">
        <is>
          <t>avverkningsanmälan</t>
        </is>
      </c>
      <c r="C529" t="inlineStr">
        <is>
          <t>Avverkning för annat ändamål</t>
        </is>
      </c>
      <c r="D529" s="1" t="n">
        <v>46062</v>
      </c>
      <c r="E529" s="1" t="n">
        <v>46217</v>
      </c>
      <c r="F529" t="inlineStr">
        <is>
          <t>KALMAR LÄN</t>
        </is>
      </c>
      <c r="G529" t="inlineStr">
        <is>
          <t>HULTSFRED</t>
        </is>
      </c>
      <c r="I529" t="n">
        <v>17.2</v>
      </c>
      <c r="J529" t="n">
        <v>0</v>
      </c>
      <c r="K529" t="n">
        <v>0</v>
      </c>
      <c r="L529" t="n">
        <v>0</v>
      </c>
      <c r="M529" t="n">
        <v>0</v>
      </c>
      <c r="N529" t="n">
        <v>0</v>
      </c>
      <c r="O529" t="n">
        <v>0</v>
      </c>
      <c r="P529" t="n">
        <v>0</v>
      </c>
      <c r="Q529" t="n">
        <v>0</v>
      </c>
      <c r="R529" t="n">
        <v>0</v>
      </c>
      <c r="S529" t="n">
        <v>0</v>
      </c>
      <c r="T529" t="n">
        <v>0</v>
      </c>
      <c r="U529" s="2" t="inlineStr"/>
    </row>
    <row r="530" ht="15" customHeight="1">
      <c r="A530" t="inlineStr">
        <is>
          <t>A 8025-2026</t>
        </is>
      </c>
      <c r="B530" t="inlineStr">
        <is>
          <t>avverkningsanmälan</t>
        </is>
      </c>
      <c r="C530" t="inlineStr">
        <is>
          <t>Föryngringsavverkning</t>
        </is>
      </c>
      <c r="D530" s="1" t="n">
        <v>46063</v>
      </c>
      <c r="E530" s="1" t="n">
        <v>46217</v>
      </c>
      <c r="F530" t="inlineStr">
        <is>
          <t>KALMAR LÄN</t>
        </is>
      </c>
      <c r="G530" t="inlineStr">
        <is>
          <t>HULTSFRED</t>
        </is>
      </c>
      <c r="H530" t="inlineStr">
        <is>
          <t>Övriga Aktiebolag</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8759-2026</t>
        </is>
      </c>
      <c r="B531" t="inlineStr">
        <is>
          <t>avverkningsanmälan</t>
        </is>
      </c>
      <c r="C531" t="inlineStr">
        <is>
          <t>Föryngringsavverkning</t>
        </is>
      </c>
      <c r="D531" s="1" t="n">
        <v>46066</v>
      </c>
      <c r="E531" s="1" t="n">
        <v>46217</v>
      </c>
      <c r="F531" t="inlineStr">
        <is>
          <t>KALMAR LÄN</t>
        </is>
      </c>
      <c r="G531" t="inlineStr">
        <is>
          <t>HULTSFRED</t>
        </is>
      </c>
      <c r="H531" t="inlineStr">
        <is>
          <t>Övriga Aktiebolag</t>
        </is>
      </c>
      <c r="I531" t="n">
        <v>6.9</v>
      </c>
      <c r="J531" t="n">
        <v>0</v>
      </c>
      <c r="K531" t="n">
        <v>0</v>
      </c>
      <c r="L531" t="n">
        <v>0</v>
      </c>
      <c r="M531" t="n">
        <v>0</v>
      </c>
      <c r="N531" t="n">
        <v>0</v>
      </c>
      <c r="O531" t="n">
        <v>0</v>
      </c>
      <c r="P531" t="n">
        <v>0</v>
      </c>
      <c r="Q531" t="n">
        <v>0</v>
      </c>
      <c r="R531" t="n">
        <v>0</v>
      </c>
      <c r="S531" t="n">
        <v>0</v>
      </c>
      <c r="T531" t="n">
        <v>0</v>
      </c>
      <c r="U531" s="2" t="inlineStr"/>
    </row>
    <row r="532" ht="15" customHeight="1">
      <c r="A532" t="inlineStr">
        <is>
          <t>A 8443-2026</t>
        </is>
      </c>
      <c r="B532" t="inlineStr">
        <is>
          <t>avverkningsanmälan</t>
        </is>
      </c>
      <c r="C532" t="inlineStr">
        <is>
          <t>Avverkning för annat ändamål</t>
        </is>
      </c>
      <c r="D532" s="1" t="n">
        <v>46065</v>
      </c>
      <c r="E532" s="1" t="n">
        <v>46217</v>
      </c>
      <c r="F532" t="inlineStr">
        <is>
          <t>KALMAR LÄN</t>
        </is>
      </c>
      <c r="G532" t="inlineStr">
        <is>
          <t>HULTSFRED</t>
        </is>
      </c>
      <c r="H532" t="inlineStr">
        <is>
          <t>Sveaskog</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58095-2023</t>
        </is>
      </c>
      <c r="B533" t="inlineStr">
        <is>
          <t>avverkningsanmälan</t>
        </is>
      </c>
      <c r="C533" t="inlineStr">
        <is>
          <t>Föryngringsavverkning</t>
        </is>
      </c>
      <c r="D533" s="1" t="n">
        <v>45248</v>
      </c>
      <c r="E533" s="1" t="n">
        <v>46217</v>
      </c>
      <c r="F533" t="inlineStr">
        <is>
          <t>KALMAR LÄN</t>
        </is>
      </c>
      <c r="G533" t="inlineStr">
        <is>
          <t>HULTSFRED</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8444-2026</t>
        </is>
      </c>
      <c r="B534" t="inlineStr">
        <is>
          <t>avverkningsanmälan</t>
        </is>
      </c>
      <c r="C534" t="inlineStr">
        <is>
          <t>Avverkning för annat ändamål</t>
        </is>
      </c>
      <c r="D534" s="1" t="n">
        <v>46065</v>
      </c>
      <c r="E534" s="1" t="n">
        <v>46217</v>
      </c>
      <c r="F534" t="inlineStr">
        <is>
          <t>KALMAR LÄN</t>
        </is>
      </c>
      <c r="G534" t="inlineStr">
        <is>
          <t>HULTSFRED</t>
        </is>
      </c>
      <c r="H534" t="inlineStr">
        <is>
          <t>Sveaskog</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54053-2024</t>
        </is>
      </c>
      <c r="B535" t="inlineStr">
        <is>
          <t>avverkningsanmälan</t>
        </is>
      </c>
      <c r="C535" t="inlineStr">
        <is>
          <t>Föryngringsavverkning</t>
        </is>
      </c>
      <c r="D535" s="1" t="n">
        <v>45616</v>
      </c>
      <c r="E535" s="1" t="n">
        <v>46217</v>
      </c>
      <c r="F535" t="inlineStr">
        <is>
          <t>KALMAR LÄN</t>
        </is>
      </c>
      <c r="G535" t="inlineStr">
        <is>
          <t>HULTSFRED</t>
        </is>
      </c>
      <c r="H535" t="inlineStr">
        <is>
          <t>Kyrkan</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10229-2026</t>
        </is>
      </c>
      <c r="B536" t="inlineStr">
        <is>
          <t>avverkningsanmälan</t>
        </is>
      </c>
      <c r="C536" t="inlineStr">
        <is>
          <t>Föryngringsavverkning</t>
        </is>
      </c>
      <c r="D536" s="1" t="n">
        <v>46076</v>
      </c>
      <c r="E536" s="1" t="n">
        <v>46217</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8641-2026</t>
        </is>
      </c>
      <c r="B537" t="inlineStr">
        <is>
          <t>avverkningsanmälan</t>
        </is>
      </c>
      <c r="C537" t="inlineStr">
        <is>
          <t>Avverkning för att bevara och utveckla /försöksver</t>
        </is>
      </c>
      <c r="D537" s="1" t="n">
        <v>46066</v>
      </c>
      <c r="E537" s="1" t="n">
        <v>46217</v>
      </c>
      <c r="F537" t="inlineStr">
        <is>
          <t>KALMAR LÄN</t>
        </is>
      </c>
      <c r="G537" t="inlineStr">
        <is>
          <t>HULTSFRED</t>
        </is>
      </c>
      <c r="I537" t="n">
        <v>8.4</v>
      </c>
      <c r="J537" t="n">
        <v>0</v>
      </c>
      <c r="K537" t="n">
        <v>0</v>
      </c>
      <c r="L537" t="n">
        <v>0</v>
      </c>
      <c r="M537" t="n">
        <v>0</v>
      </c>
      <c r="N537" t="n">
        <v>0</v>
      </c>
      <c r="O537" t="n">
        <v>0</v>
      </c>
      <c r="P537" t="n">
        <v>0</v>
      </c>
      <c r="Q537" t="n">
        <v>0</v>
      </c>
      <c r="R537" t="n">
        <v>0</v>
      </c>
      <c r="S537" t="n">
        <v>0</v>
      </c>
      <c r="T537" t="n">
        <v>0</v>
      </c>
      <c r="U537" s="2" t="inlineStr"/>
    </row>
    <row r="538" ht="15" customHeight="1">
      <c r="A538" t="inlineStr">
        <is>
          <t>A 50320-2023</t>
        </is>
      </c>
      <c r="B538" t="inlineStr">
        <is>
          <t>avverkningsanmälan</t>
        </is>
      </c>
      <c r="C538" t="inlineStr">
        <is>
          <t>Föryngringsavverkning</t>
        </is>
      </c>
      <c r="D538" s="1" t="n">
        <v>45216</v>
      </c>
      <c r="E538" s="1" t="n">
        <v>46217</v>
      </c>
      <c r="F538" t="inlineStr">
        <is>
          <t>KALMAR LÄN</t>
        </is>
      </c>
      <c r="G538" t="inlineStr">
        <is>
          <t>HULTSFRED</t>
        </is>
      </c>
      <c r="I538" t="n">
        <v>3.8</v>
      </c>
      <c r="J538" t="n">
        <v>0</v>
      </c>
      <c r="K538" t="n">
        <v>0</v>
      </c>
      <c r="L538" t="n">
        <v>0</v>
      </c>
      <c r="M538" t="n">
        <v>0</v>
      </c>
      <c r="N538" t="n">
        <v>0</v>
      </c>
      <c r="O538" t="n">
        <v>0</v>
      </c>
      <c r="P538" t="n">
        <v>0</v>
      </c>
      <c r="Q538" t="n">
        <v>0</v>
      </c>
      <c r="R538" t="n">
        <v>0</v>
      </c>
      <c r="S538" t="n">
        <v>0</v>
      </c>
      <c r="T538" t="n">
        <v>0</v>
      </c>
      <c r="U538" s="2" t="inlineStr"/>
    </row>
    <row r="539" ht="15" customHeight="1">
      <c r="A539" t="inlineStr">
        <is>
          <t>A 25582-2022</t>
        </is>
      </c>
      <c r="B539" t="inlineStr">
        <is>
          <t>avverkningsanmälan</t>
        </is>
      </c>
      <c r="C539" t="inlineStr">
        <is>
          <t>Föryngringsavverkning</t>
        </is>
      </c>
      <c r="D539" s="1" t="n">
        <v>44732</v>
      </c>
      <c r="E539" s="1" t="n">
        <v>46217</v>
      </c>
      <c r="F539" t="inlineStr">
        <is>
          <t>KALMAR LÄN</t>
        </is>
      </c>
      <c r="G539" t="inlineStr">
        <is>
          <t>HULTSFRED</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5589-2025</t>
        </is>
      </c>
      <c r="B540" t="inlineStr">
        <is>
          <t>avverkningsanmälan</t>
        </is>
      </c>
      <c r="C540" t="inlineStr">
        <is>
          <t>Föryngringsavverkning</t>
        </is>
      </c>
      <c r="D540" s="1" t="n">
        <v>45693</v>
      </c>
      <c r="E540" s="1" t="n">
        <v>46217</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10227-2026</t>
        </is>
      </c>
      <c r="B541" t="inlineStr">
        <is>
          <t>avverkningsanmälan</t>
        </is>
      </c>
      <c r="C541" t="inlineStr">
        <is>
          <t>Föryngringsavverkning</t>
        </is>
      </c>
      <c r="D541" s="1" t="n">
        <v>46076</v>
      </c>
      <c r="E541" s="1" t="n">
        <v>46217</v>
      </c>
      <c r="F541" t="inlineStr">
        <is>
          <t>KALMAR LÄN</t>
        </is>
      </c>
      <c r="G541" t="inlineStr">
        <is>
          <t>HULTSFRED</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11010-2026</t>
        </is>
      </c>
      <c r="B542" t="inlineStr">
        <is>
          <t>avverkningsanmälan</t>
        </is>
      </c>
      <c r="C542" t="inlineStr">
        <is>
          <t>Föryngringsavverkning</t>
        </is>
      </c>
      <c r="D542" s="1" t="n">
        <v>46078</v>
      </c>
      <c r="E542" s="1" t="n">
        <v>46217</v>
      </c>
      <c r="F542" t="inlineStr">
        <is>
          <t>KALMAR LÄN</t>
        </is>
      </c>
      <c r="G542" t="inlineStr">
        <is>
          <t>HULTSFRED</t>
        </is>
      </c>
      <c r="H542" t="inlineStr">
        <is>
          <t>Kommuner</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23301-2026</t>
        </is>
      </c>
      <c r="B543" t="inlineStr">
        <is>
          <t>avverkningsanmälan</t>
        </is>
      </c>
      <c r="C543" t="inlineStr">
        <is>
          <t>Föryngringsavverkning</t>
        </is>
      </c>
      <c r="D543" s="1" t="n">
        <v>46162</v>
      </c>
      <c r="E543" s="1" t="n">
        <v>46217</v>
      </c>
      <c r="F543" t="inlineStr">
        <is>
          <t>KALMAR LÄN</t>
        </is>
      </c>
      <c r="G543" t="inlineStr">
        <is>
          <t>HULTSFRED</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15780-2025</t>
        </is>
      </c>
      <c r="B544" t="inlineStr">
        <is>
          <t>avverkningsanmälan</t>
        </is>
      </c>
      <c r="C544" t="inlineStr">
        <is>
          <t>Föryngringsavverkning</t>
        </is>
      </c>
      <c r="D544" s="1" t="n">
        <v>45748</v>
      </c>
      <c r="E544" s="1" t="n">
        <v>46217</v>
      </c>
      <c r="F544" t="inlineStr">
        <is>
          <t>KALMAR LÄN</t>
        </is>
      </c>
      <c r="G544" t="inlineStr">
        <is>
          <t>HULTSFRED</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11412-2026</t>
        </is>
      </c>
      <c r="B545" t="inlineStr">
        <is>
          <t>avverkningsanmälan</t>
        </is>
      </c>
      <c r="C545" t="inlineStr">
        <is>
          <t>Föryngringsavverkning</t>
        </is>
      </c>
      <c r="D545" s="1" t="n">
        <v>46083</v>
      </c>
      <c r="E545" s="1" t="n">
        <v>46217</v>
      </c>
      <c r="F545" t="inlineStr">
        <is>
          <t>KALMAR LÄN</t>
        </is>
      </c>
      <c r="G545" t="inlineStr">
        <is>
          <t>HULTSFRED</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23147-2022</t>
        </is>
      </c>
      <c r="B546" t="inlineStr">
        <is>
          <t>avverkningsanmälan</t>
        </is>
      </c>
      <c r="C546" t="inlineStr">
        <is>
          <t>Föryngringsavverkning</t>
        </is>
      </c>
      <c r="D546" s="1" t="n">
        <v>44719</v>
      </c>
      <c r="E546" s="1" t="n">
        <v>46217</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42460-2023</t>
        </is>
      </c>
      <c r="B547" t="inlineStr">
        <is>
          <t>avverkningsanmälan</t>
        </is>
      </c>
      <c r="C547" t="inlineStr">
        <is>
          <t>Föryngringsavverkning</t>
        </is>
      </c>
      <c r="D547" s="1" t="n">
        <v>45175</v>
      </c>
      <c r="E547" s="1" t="n">
        <v>46217</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s="2" t="inlineStr"/>
    </row>
    <row r="548" ht="15" customHeight="1">
      <c r="A548" t="inlineStr">
        <is>
          <t>A 44196-2023</t>
        </is>
      </c>
      <c r="B548" t="inlineStr">
        <is>
          <t>avverkningsanmälan</t>
        </is>
      </c>
      <c r="C548" t="inlineStr">
        <is>
          <t>Föryngringsavverkning</t>
        </is>
      </c>
      <c r="D548" s="1" t="n">
        <v>45188</v>
      </c>
      <c r="E548" s="1" t="n">
        <v>46217</v>
      </c>
      <c r="F548" t="inlineStr">
        <is>
          <t>KALMAR LÄN</t>
        </is>
      </c>
      <c r="G548" t="inlineStr">
        <is>
          <t>HULTSFRED</t>
        </is>
      </c>
      <c r="I548" t="n">
        <v>1.8</v>
      </c>
      <c r="J548" t="n">
        <v>0</v>
      </c>
      <c r="K548" t="n">
        <v>0</v>
      </c>
      <c r="L548" t="n">
        <v>0</v>
      </c>
      <c r="M548" t="n">
        <v>0</v>
      </c>
      <c r="N548" t="n">
        <v>0</v>
      </c>
      <c r="O548" t="n">
        <v>0</v>
      </c>
      <c r="P548" t="n">
        <v>0</v>
      </c>
      <c r="Q548" t="n">
        <v>0</v>
      </c>
      <c r="R548" t="n">
        <v>0</v>
      </c>
      <c r="S548" t="n">
        <v>0</v>
      </c>
      <c r="T548" t="n">
        <v>0</v>
      </c>
      <c r="U548" s="2" t="inlineStr"/>
    </row>
    <row r="549" ht="15" customHeight="1">
      <c r="A549" t="inlineStr">
        <is>
          <t>A 3753-2025</t>
        </is>
      </c>
      <c r="B549" t="inlineStr">
        <is>
          <t>avverkningsanmälan</t>
        </is>
      </c>
      <c r="C549" t="inlineStr">
        <is>
          <t>Föryngringsavverkning</t>
        </is>
      </c>
      <c r="D549" s="1" t="n">
        <v>45681</v>
      </c>
      <c r="E549" s="1" t="n">
        <v>46217</v>
      </c>
      <c r="F549" t="inlineStr">
        <is>
          <t>KALMAR LÄN</t>
        </is>
      </c>
      <c r="G549" t="inlineStr">
        <is>
          <t>HULTSFRED</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3762-2025</t>
        </is>
      </c>
      <c r="B550" t="inlineStr">
        <is>
          <t>avverkningsanmälan</t>
        </is>
      </c>
      <c r="C550" t="inlineStr">
        <is>
          <t>Föryngringsavverkning</t>
        </is>
      </c>
      <c r="D550" s="1" t="n">
        <v>45681</v>
      </c>
      <c r="E550" s="1" t="n">
        <v>46217</v>
      </c>
      <c r="F550" t="inlineStr">
        <is>
          <t>KALMAR LÄN</t>
        </is>
      </c>
      <c r="G550" t="inlineStr">
        <is>
          <t>HULTSFRED</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24257-2022</t>
        </is>
      </c>
      <c r="B551" t="inlineStr">
        <is>
          <t>avverkningsanmälan</t>
        </is>
      </c>
      <c r="C551" t="inlineStr">
        <is>
          <t>Föryngringsavverkning</t>
        </is>
      </c>
      <c r="D551" s="1" t="n">
        <v>44725</v>
      </c>
      <c r="E551" s="1" t="n">
        <v>46217</v>
      </c>
      <c r="F551" t="inlineStr">
        <is>
          <t>KALMAR LÄN</t>
        </is>
      </c>
      <c r="G551" t="inlineStr">
        <is>
          <t>HULTSFRED</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29984-2026</t>
        </is>
      </c>
      <c r="B552" t="inlineStr">
        <is>
          <t>avverkningsanmälan</t>
        </is>
      </c>
      <c r="C552" t="inlineStr">
        <is>
          <t>Föryngringsavverkning</t>
        </is>
      </c>
      <c r="D552" s="1" t="n">
        <v>46205</v>
      </c>
      <c r="E552" s="1" t="n">
        <v>46217</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39845-2022</t>
        </is>
      </c>
      <c r="B553" t="inlineStr">
        <is>
          <t>avverkningsanmälan</t>
        </is>
      </c>
      <c r="C553" t="inlineStr">
        <is>
          <t>Avverkning för annat ändamål</t>
        </is>
      </c>
      <c r="D553" s="1" t="n">
        <v>44819</v>
      </c>
      <c r="E553" s="1" t="n">
        <v>46217</v>
      </c>
      <c r="F553" t="inlineStr">
        <is>
          <t>KALMAR LÄN</t>
        </is>
      </c>
      <c r="G553" t="inlineStr">
        <is>
          <t>HULTSFRED</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41277-2022</t>
        </is>
      </c>
      <c r="B554" t="inlineStr">
        <is>
          <t>avverkningsanmälan</t>
        </is>
      </c>
      <c r="C554" t="inlineStr">
        <is>
          <t>Föryngringsavverkning</t>
        </is>
      </c>
      <c r="D554" s="1" t="n">
        <v>44826</v>
      </c>
      <c r="E554" s="1" t="n">
        <v>46217</v>
      </c>
      <c r="F554" t="inlineStr">
        <is>
          <t>KALMAR LÄN</t>
        </is>
      </c>
      <c r="G554" t="inlineStr">
        <is>
          <t>HULTSFRED</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46415-2023</t>
        </is>
      </c>
      <c r="B555" t="inlineStr">
        <is>
          <t>avverkningsanmälan</t>
        </is>
      </c>
      <c r="C555" t="inlineStr">
        <is>
          <t>Föryngringsavverkning</t>
        </is>
      </c>
      <c r="D555" s="1" t="n">
        <v>45194</v>
      </c>
      <c r="E555" s="1" t="n">
        <v>46217</v>
      </c>
      <c r="F555" t="inlineStr">
        <is>
          <t>KALMAR LÄN</t>
        </is>
      </c>
      <c r="G555" t="inlineStr">
        <is>
          <t>HULTSFRED</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55674-2023</t>
        </is>
      </c>
      <c r="B556" t="inlineStr">
        <is>
          <t>avverkningsanmälan</t>
        </is>
      </c>
      <c r="C556" t="inlineStr">
        <is>
          <t>Föryngringsavverkning</t>
        </is>
      </c>
      <c r="D556" s="1" t="n">
        <v>45239</v>
      </c>
      <c r="E556" s="1" t="n">
        <v>46217</v>
      </c>
      <c r="F556" t="inlineStr">
        <is>
          <t>KALMAR LÄN</t>
        </is>
      </c>
      <c r="G556" t="inlineStr">
        <is>
          <t>HULTSFRED</t>
        </is>
      </c>
      <c r="I556" t="n">
        <v>5.6</v>
      </c>
      <c r="J556" t="n">
        <v>0</v>
      </c>
      <c r="K556" t="n">
        <v>0</v>
      </c>
      <c r="L556" t="n">
        <v>0</v>
      </c>
      <c r="M556" t="n">
        <v>0</v>
      </c>
      <c r="N556" t="n">
        <v>0</v>
      </c>
      <c r="O556" t="n">
        <v>0</v>
      </c>
      <c r="P556" t="n">
        <v>0</v>
      </c>
      <c r="Q556" t="n">
        <v>0</v>
      </c>
      <c r="R556" t="n">
        <v>0</v>
      </c>
      <c r="S556" t="n">
        <v>0</v>
      </c>
      <c r="T556" t="n">
        <v>0</v>
      </c>
      <c r="U556" s="2" t="inlineStr"/>
    </row>
    <row r="557" ht="15" customHeight="1">
      <c r="A557" t="inlineStr">
        <is>
          <t>A 59977-2023</t>
        </is>
      </c>
      <c r="B557" t="inlineStr">
        <is>
          <t>avverkningsanmälan</t>
        </is>
      </c>
      <c r="C557" t="inlineStr">
        <is>
          <t>Föryngringsavverkning</t>
        </is>
      </c>
      <c r="D557" s="1" t="n">
        <v>45257</v>
      </c>
      <c r="E557" s="1" t="n">
        <v>46217</v>
      </c>
      <c r="F557" t="inlineStr">
        <is>
          <t>KALMAR LÄN</t>
        </is>
      </c>
      <c r="G557" t="inlineStr">
        <is>
          <t>HULTSFRED</t>
        </is>
      </c>
      <c r="H557" t="inlineStr">
        <is>
          <t>Sveaskog</t>
        </is>
      </c>
      <c r="I557" t="n">
        <v>0.4</v>
      </c>
      <c r="J557" t="n">
        <v>0</v>
      </c>
      <c r="K557" t="n">
        <v>0</v>
      </c>
      <c r="L557" t="n">
        <v>0</v>
      </c>
      <c r="M557" t="n">
        <v>0</v>
      </c>
      <c r="N557" t="n">
        <v>0</v>
      </c>
      <c r="O557" t="n">
        <v>0</v>
      </c>
      <c r="P557" t="n">
        <v>0</v>
      </c>
      <c r="Q557" t="n">
        <v>0</v>
      </c>
      <c r="R557" t="n">
        <v>0</v>
      </c>
      <c r="S557" t="n">
        <v>0</v>
      </c>
      <c r="T557" t="n">
        <v>0</v>
      </c>
      <c r="U557" s="2" t="inlineStr"/>
    </row>
    <row r="558" ht="15" customHeight="1">
      <c r="A558" t="inlineStr">
        <is>
          <t>A 62478-2023</t>
        </is>
      </c>
      <c r="B558" t="inlineStr">
        <is>
          <t>avverkningsanmälan</t>
        </is>
      </c>
      <c r="C558" t="inlineStr">
        <is>
          <t>Föryngringsavverkning</t>
        </is>
      </c>
      <c r="D558" s="1" t="n">
        <v>45268</v>
      </c>
      <c r="E558" s="1" t="n">
        <v>46217</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13348-2025</t>
        </is>
      </c>
      <c r="B559" t="inlineStr">
        <is>
          <t>avverkningsanmälan</t>
        </is>
      </c>
      <c r="C559" t="inlineStr">
        <is>
          <t>Föryngringsavverkning</t>
        </is>
      </c>
      <c r="D559" s="1" t="n">
        <v>45735</v>
      </c>
      <c r="E559" s="1" t="n">
        <v>46217</v>
      </c>
      <c r="F559" t="inlineStr">
        <is>
          <t>KALMAR LÄN</t>
        </is>
      </c>
      <c r="G559" t="inlineStr">
        <is>
          <t>HULTSFRED</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62810-2023</t>
        </is>
      </c>
      <c r="B560" t="inlineStr">
        <is>
          <t>avverkningsanmälan</t>
        </is>
      </c>
      <c r="C560" t="inlineStr">
        <is>
          <t>Föryngringsavverkning</t>
        </is>
      </c>
      <c r="D560" s="1" t="n">
        <v>45271</v>
      </c>
      <c r="E560" s="1" t="n">
        <v>46217</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12306-2024</t>
        </is>
      </c>
      <c r="B561" t="inlineStr">
        <is>
          <t>avverkningsanmälan</t>
        </is>
      </c>
      <c r="C561" t="inlineStr">
        <is>
          <t>Föryngringsavverkning</t>
        </is>
      </c>
      <c r="D561" s="1" t="n">
        <v>45378</v>
      </c>
      <c r="E561" s="1" t="n">
        <v>46217</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15018-2024</t>
        </is>
      </c>
      <c r="B562" t="inlineStr">
        <is>
          <t>avverkningsanmälan</t>
        </is>
      </c>
      <c r="C562" t="inlineStr">
        <is>
          <t>Föryngringsavverkning</t>
        </is>
      </c>
      <c r="D562" s="1" t="n">
        <v>45399</v>
      </c>
      <c r="E562" s="1" t="n">
        <v>46217</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2212-2024</t>
        </is>
      </c>
      <c r="B563" t="inlineStr">
        <is>
          <t>avverkningsanmälan</t>
        </is>
      </c>
      <c r="C563" t="inlineStr">
        <is>
          <t>Föryngringsavverkning</t>
        </is>
      </c>
      <c r="D563" s="1" t="n">
        <v>45309</v>
      </c>
      <c r="E563" s="1" t="n">
        <v>46217</v>
      </c>
      <c r="F563" t="inlineStr">
        <is>
          <t>KALMAR LÄN</t>
        </is>
      </c>
      <c r="G563" t="inlineStr">
        <is>
          <t>HULTSFRED</t>
        </is>
      </c>
      <c r="I563" t="n">
        <v>2.9</v>
      </c>
      <c r="J563" t="n">
        <v>0</v>
      </c>
      <c r="K563" t="n">
        <v>0</v>
      </c>
      <c r="L563" t="n">
        <v>0</v>
      </c>
      <c r="M563" t="n">
        <v>0</v>
      </c>
      <c r="N563" t="n">
        <v>0</v>
      </c>
      <c r="O563" t="n">
        <v>0</v>
      </c>
      <c r="P563" t="n">
        <v>0</v>
      </c>
      <c r="Q563" t="n">
        <v>0</v>
      </c>
      <c r="R563" t="n">
        <v>0</v>
      </c>
      <c r="S563" t="n">
        <v>0</v>
      </c>
      <c r="T563" t="n">
        <v>0</v>
      </c>
      <c r="U563" s="2" t="inlineStr"/>
    </row>
    <row r="564" ht="15" customHeight="1">
      <c r="A564" t="inlineStr">
        <is>
          <t>A 19836-2025</t>
        </is>
      </c>
      <c r="B564" t="inlineStr">
        <is>
          <t>avverkningsanmälan</t>
        </is>
      </c>
      <c r="C564" t="inlineStr">
        <is>
          <t>Föryngringsavverkning</t>
        </is>
      </c>
      <c r="D564" s="1" t="n">
        <v>45771</v>
      </c>
      <c r="E564" s="1" t="n">
        <v>46217</v>
      </c>
      <c r="F564" t="inlineStr">
        <is>
          <t>KALMAR LÄN</t>
        </is>
      </c>
      <c r="G564" t="inlineStr">
        <is>
          <t>HULTSFRED</t>
        </is>
      </c>
      <c r="H564" t="inlineStr">
        <is>
          <t>Sveaskog</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15153-2026</t>
        </is>
      </c>
      <c r="B565" t="inlineStr">
        <is>
          <t>avverkningsanmälan</t>
        </is>
      </c>
      <c r="C565" t="inlineStr">
        <is>
          <t>Föryngringsavverkning</t>
        </is>
      </c>
      <c r="D565" s="1" t="n">
        <v>46105</v>
      </c>
      <c r="E565" s="1" t="n">
        <v>46217</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39598-2022</t>
        </is>
      </c>
      <c r="B566" t="inlineStr">
        <is>
          <t>avverkningsanmälan</t>
        </is>
      </c>
      <c r="C566" t="inlineStr">
        <is>
          <t>Föryngringsavverkning</t>
        </is>
      </c>
      <c r="D566" s="1" t="n">
        <v>44818</v>
      </c>
      <c r="E566" s="1" t="n">
        <v>46217</v>
      </c>
      <c r="F566" t="inlineStr">
        <is>
          <t>KALMAR LÄN</t>
        </is>
      </c>
      <c r="G566" t="inlineStr">
        <is>
          <t>HULTSFRED</t>
        </is>
      </c>
      <c r="H566" t="inlineStr">
        <is>
          <t>Övriga Aktiebolag</t>
        </is>
      </c>
      <c r="I566" t="n">
        <v>17.1</v>
      </c>
      <c r="J566" t="n">
        <v>0</v>
      </c>
      <c r="K566" t="n">
        <v>0</v>
      </c>
      <c r="L566" t="n">
        <v>0</v>
      </c>
      <c r="M566" t="n">
        <v>0</v>
      </c>
      <c r="N566" t="n">
        <v>0</v>
      </c>
      <c r="O566" t="n">
        <v>0</v>
      </c>
      <c r="P566" t="n">
        <v>0</v>
      </c>
      <c r="Q566" t="n">
        <v>0</v>
      </c>
      <c r="R566" t="n">
        <v>0</v>
      </c>
      <c r="S566" t="n">
        <v>0</v>
      </c>
      <c r="T566" t="n">
        <v>0</v>
      </c>
      <c r="U566" s="2" t="inlineStr"/>
    </row>
    <row r="567" ht="15" customHeight="1">
      <c r="A567" t="inlineStr">
        <is>
          <t>A 1065-2024</t>
        </is>
      </c>
      <c r="B567" t="inlineStr">
        <is>
          <t>avverkningsanmälan</t>
        </is>
      </c>
      <c r="C567" t="inlineStr">
        <is>
          <t>Föryngringsavverkning</t>
        </is>
      </c>
      <c r="D567" s="1" t="n">
        <v>45302</v>
      </c>
      <c r="E567" s="1" t="n">
        <v>46217</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41617-2022</t>
        </is>
      </c>
      <c r="B568" t="inlineStr">
        <is>
          <t>avverkningsanmälan</t>
        </is>
      </c>
      <c r="C568" t="inlineStr">
        <is>
          <t>Föryngringsavverkning</t>
        </is>
      </c>
      <c r="D568" s="1" t="n">
        <v>44827</v>
      </c>
      <c r="E568" s="1" t="n">
        <v>46217</v>
      </c>
      <c r="F568" t="inlineStr">
        <is>
          <t>KALMAR LÄN</t>
        </is>
      </c>
      <c r="G568" t="inlineStr">
        <is>
          <t>HULTSFRED</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16281-2026</t>
        </is>
      </c>
      <c r="B569" t="inlineStr">
        <is>
          <t>avverkningsanmälan</t>
        </is>
      </c>
      <c r="C569" t="inlineStr">
        <is>
          <t>Föryngringsavverkning</t>
        </is>
      </c>
      <c r="D569" s="1" t="n">
        <v>46111</v>
      </c>
      <c r="E569" s="1" t="n">
        <v>46217</v>
      </c>
      <c r="F569" t="inlineStr">
        <is>
          <t>KALMAR LÄN</t>
        </is>
      </c>
      <c r="G569" t="inlineStr">
        <is>
          <t>HULTSFRED</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55030-2023</t>
        </is>
      </c>
      <c r="B570" t="inlineStr">
        <is>
          <t>avverkningsanmälan</t>
        </is>
      </c>
      <c r="C570" t="inlineStr">
        <is>
          <t>Föryngringsavverkning</t>
        </is>
      </c>
      <c r="D570" s="1" t="n">
        <v>45237</v>
      </c>
      <c r="E570" s="1" t="n">
        <v>46217</v>
      </c>
      <c r="F570" t="inlineStr">
        <is>
          <t>KALMAR LÄN</t>
        </is>
      </c>
      <c r="G570" t="inlineStr">
        <is>
          <t>HULTSFRED</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16287-2026</t>
        </is>
      </c>
      <c r="B571" t="inlineStr">
        <is>
          <t>avverkningsanmälan</t>
        </is>
      </c>
      <c r="C571" t="inlineStr">
        <is>
          <t>Föryngringsavverkning</t>
        </is>
      </c>
      <c r="D571" s="1" t="n">
        <v>46111</v>
      </c>
      <c r="E571" s="1" t="n">
        <v>46217</v>
      </c>
      <c r="F571" t="inlineStr">
        <is>
          <t>KALMAR LÄN</t>
        </is>
      </c>
      <c r="G571" t="inlineStr">
        <is>
          <t>HULTSFRED</t>
        </is>
      </c>
      <c r="I571" t="n">
        <v>1.1</v>
      </c>
      <c r="J571" t="n">
        <v>0</v>
      </c>
      <c r="K571" t="n">
        <v>0</v>
      </c>
      <c r="L571" t="n">
        <v>0</v>
      </c>
      <c r="M571" t="n">
        <v>0</v>
      </c>
      <c r="N571" t="n">
        <v>0</v>
      </c>
      <c r="O571" t="n">
        <v>0</v>
      </c>
      <c r="P571" t="n">
        <v>0</v>
      </c>
      <c r="Q571" t="n">
        <v>0</v>
      </c>
      <c r="R571" t="n">
        <v>0</v>
      </c>
      <c r="S571" t="n">
        <v>0</v>
      </c>
      <c r="T571" t="n">
        <v>0</v>
      </c>
      <c r="U571" s="2" t="inlineStr"/>
    </row>
    <row r="572" ht="15" customHeight="1">
      <c r="A572" t="inlineStr">
        <is>
          <t>A 16466-2026</t>
        </is>
      </c>
      <c r="B572" t="inlineStr">
        <is>
          <t>avverkningsanmälan</t>
        </is>
      </c>
      <c r="C572" t="inlineStr">
        <is>
          <t>Föryngringsavverkning</t>
        </is>
      </c>
      <c r="D572" s="1" t="n">
        <v>46112</v>
      </c>
      <c r="E572" s="1" t="n">
        <v>46217</v>
      </c>
      <c r="F572" t="inlineStr">
        <is>
          <t>KALMAR LÄN</t>
        </is>
      </c>
      <c r="G572" t="inlineStr">
        <is>
          <t>HULTSFRED</t>
        </is>
      </c>
      <c r="I572" t="n">
        <v>4.1</v>
      </c>
      <c r="J572" t="n">
        <v>0</v>
      </c>
      <c r="K572" t="n">
        <v>0</v>
      </c>
      <c r="L572" t="n">
        <v>0</v>
      </c>
      <c r="M572" t="n">
        <v>0</v>
      </c>
      <c r="N572" t="n">
        <v>0</v>
      </c>
      <c r="O572" t="n">
        <v>0</v>
      </c>
      <c r="P572" t="n">
        <v>0</v>
      </c>
      <c r="Q572" t="n">
        <v>0</v>
      </c>
      <c r="R572" t="n">
        <v>0</v>
      </c>
      <c r="S572" t="n">
        <v>0</v>
      </c>
      <c r="T572" t="n">
        <v>0</v>
      </c>
      <c r="U572" s="2" t="inlineStr"/>
    </row>
    <row r="573" ht="15" customHeight="1">
      <c r="A573" t="inlineStr">
        <is>
          <t>A 62632-2023</t>
        </is>
      </c>
      <c r="B573" t="inlineStr">
        <is>
          <t>avverkningsanmälan</t>
        </is>
      </c>
      <c r="C573" t="inlineStr">
        <is>
          <t>Föryngringsavverkning</t>
        </is>
      </c>
      <c r="D573" s="1" t="n">
        <v>45271</v>
      </c>
      <c r="E573" s="1" t="n">
        <v>46217</v>
      </c>
      <c r="F573" t="inlineStr">
        <is>
          <t>KALMAR LÄN</t>
        </is>
      </c>
      <c r="G573" t="inlineStr">
        <is>
          <t>HULTSFRED</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4972-2023</t>
        </is>
      </c>
      <c r="B574" t="inlineStr">
        <is>
          <t>avverkningsanmälan</t>
        </is>
      </c>
      <c r="C574" t="inlineStr">
        <is>
          <t>Föryngringsavverkning</t>
        </is>
      </c>
      <c r="D574" s="1" t="n">
        <v>44958</v>
      </c>
      <c r="E574" s="1" t="n">
        <v>46217</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24330-2026</t>
        </is>
      </c>
      <c r="B575" t="inlineStr">
        <is>
          <t>avverkningsanmälan</t>
        </is>
      </c>
      <c r="C575" t="inlineStr">
        <is>
          <t>Föryngringsavverkning</t>
        </is>
      </c>
      <c r="D575" s="1" t="n">
        <v>46169</v>
      </c>
      <c r="E575" s="1" t="n">
        <v>46217</v>
      </c>
      <c r="F575" t="inlineStr">
        <is>
          <t>KALMAR LÄN</t>
        </is>
      </c>
      <c r="G575" t="inlineStr">
        <is>
          <t>HULTSFRED</t>
        </is>
      </c>
      <c r="I575" t="n">
        <v>3.2</v>
      </c>
      <c r="J575" t="n">
        <v>0</v>
      </c>
      <c r="K575" t="n">
        <v>0</v>
      </c>
      <c r="L575" t="n">
        <v>0</v>
      </c>
      <c r="M575" t="n">
        <v>0</v>
      </c>
      <c r="N575" t="n">
        <v>0</v>
      </c>
      <c r="O575" t="n">
        <v>0</v>
      </c>
      <c r="P575" t="n">
        <v>0</v>
      </c>
      <c r="Q575" t="n">
        <v>0</v>
      </c>
      <c r="R575" t="n">
        <v>0</v>
      </c>
      <c r="S575" t="n">
        <v>0</v>
      </c>
      <c r="T575" t="n">
        <v>0</v>
      </c>
      <c r="U575" s="2" t="inlineStr"/>
    </row>
    <row r="576" ht="15" customHeight="1">
      <c r="A576" t="inlineStr">
        <is>
          <t>A 24332-2026</t>
        </is>
      </c>
      <c r="B576" t="inlineStr">
        <is>
          <t>avverkningsanmälan</t>
        </is>
      </c>
      <c r="C576" t="inlineStr">
        <is>
          <t>Föryngringsavverkning</t>
        </is>
      </c>
      <c r="D576" s="1" t="n">
        <v>46169</v>
      </c>
      <c r="E576" s="1" t="n">
        <v>46217</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20035-2023</t>
        </is>
      </c>
      <c r="B577" t="inlineStr">
        <is>
          <t>avverkningsanmälan</t>
        </is>
      </c>
      <c r="C577" t="inlineStr">
        <is>
          <t>Föryngringsavverkning</t>
        </is>
      </c>
      <c r="D577" s="1" t="n">
        <v>45054</v>
      </c>
      <c r="E577" s="1" t="n">
        <v>46217</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24331-2026</t>
        </is>
      </c>
      <c r="B578" t="inlineStr">
        <is>
          <t>avverkningsanmälan</t>
        </is>
      </c>
      <c r="C578" t="inlineStr">
        <is>
          <t>Föryngringsavverkning</t>
        </is>
      </c>
      <c r="D578" s="1" t="n">
        <v>46169</v>
      </c>
      <c r="E578" s="1" t="n">
        <v>46217</v>
      </c>
      <c r="F578" t="inlineStr">
        <is>
          <t>KALMAR LÄN</t>
        </is>
      </c>
      <c r="G578" t="inlineStr">
        <is>
          <t>HULTSFRED</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61898-2023</t>
        </is>
      </c>
      <c r="B579" t="inlineStr">
        <is>
          <t>avverkningsanmälan</t>
        </is>
      </c>
      <c r="C579" t="inlineStr">
        <is>
          <t>Föryngringsavverkning</t>
        </is>
      </c>
      <c r="D579" s="1" t="n">
        <v>45266</v>
      </c>
      <c r="E579" s="1" t="n">
        <v>46217</v>
      </c>
      <c r="F579" t="inlineStr">
        <is>
          <t>KALMAR LÄN</t>
        </is>
      </c>
      <c r="G579" t="inlineStr">
        <is>
          <t>HULTSFRED</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A 30716-2026</t>
        </is>
      </c>
      <c r="B580" t="inlineStr">
        <is>
          <t>avverkningsanmälan</t>
        </is>
      </c>
      <c r="C580" t="inlineStr">
        <is>
          <t>Föryngringsavverkning</t>
        </is>
      </c>
      <c r="D580" s="1" t="n">
        <v>46211</v>
      </c>
      <c r="E580" s="1" t="n">
        <v>46217</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30721-2026</t>
        </is>
      </c>
      <c r="B581" t="inlineStr">
        <is>
          <t>avverkningsanmälan</t>
        </is>
      </c>
      <c r="C581" t="inlineStr">
        <is>
          <t>Föryngringsavverkning</t>
        </is>
      </c>
      <c r="D581" s="1" t="n">
        <v>46211</v>
      </c>
      <c r="E581" s="1" t="n">
        <v>46217</v>
      </c>
      <c r="F581" t="inlineStr">
        <is>
          <t>KALMAR LÄN</t>
        </is>
      </c>
      <c r="G581" t="inlineStr">
        <is>
          <t>HULTSFRED</t>
        </is>
      </c>
      <c r="I581" t="n">
        <v>1.7</v>
      </c>
      <c r="J581" t="n">
        <v>0</v>
      </c>
      <c r="K581" t="n">
        <v>0</v>
      </c>
      <c r="L581" t="n">
        <v>0</v>
      </c>
      <c r="M581" t="n">
        <v>0</v>
      </c>
      <c r="N581" t="n">
        <v>0</v>
      </c>
      <c r="O581" t="n">
        <v>0</v>
      </c>
      <c r="P581" t="n">
        <v>0</v>
      </c>
      <c r="Q581" t="n">
        <v>0</v>
      </c>
      <c r="R581" t="n">
        <v>0</v>
      </c>
      <c r="S581" t="n">
        <v>0</v>
      </c>
      <c r="T581" t="n">
        <v>0</v>
      </c>
      <c r="U581" s="2" t="inlineStr"/>
    </row>
    <row r="582" ht="15" customHeight="1">
      <c r="A582" t="inlineStr">
        <is>
          <t>A 36638-2024</t>
        </is>
      </c>
      <c r="B582" t="inlineStr">
        <is>
          <t>avverkningsanmälan</t>
        </is>
      </c>
      <c r="C582" t="inlineStr">
        <is>
          <t>Föryngringsavverkning</t>
        </is>
      </c>
      <c r="D582" s="1" t="n">
        <v>45537</v>
      </c>
      <c r="E582" s="1" t="n">
        <v>46217</v>
      </c>
      <c r="F582" t="inlineStr">
        <is>
          <t>KALMAR LÄN</t>
        </is>
      </c>
      <c r="G582" t="inlineStr">
        <is>
          <t>HULTSFRED</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60525-2021</t>
        </is>
      </c>
      <c r="B583" t="inlineStr">
        <is>
          <t>avverkningsanmälan</t>
        </is>
      </c>
      <c r="C583" t="inlineStr">
        <is>
          <t>Föryngringsavverkning</t>
        </is>
      </c>
      <c r="D583" s="1" t="n">
        <v>44496</v>
      </c>
      <c r="E583" s="1" t="n">
        <v>46217</v>
      </c>
      <c r="F583" t="inlineStr">
        <is>
          <t>KALMAR LÄN</t>
        </is>
      </c>
      <c r="G583" t="inlineStr">
        <is>
          <t>HULTSFRED</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24270-2026</t>
        </is>
      </c>
      <c r="B584" t="inlineStr">
        <is>
          <t>avverkningsanmälan</t>
        </is>
      </c>
      <c r="C584" t="inlineStr">
        <is>
          <t>Föryngringsavverkning</t>
        </is>
      </c>
      <c r="D584" s="1" t="n">
        <v>46169</v>
      </c>
      <c r="E584" s="1" t="n">
        <v>46217</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5584-2025</t>
        </is>
      </c>
      <c r="B585" t="inlineStr">
        <is>
          <t>avverkningsanmälan</t>
        </is>
      </c>
      <c r="C585" t="inlineStr">
        <is>
          <t>Föryngringsavverkning</t>
        </is>
      </c>
      <c r="D585" s="1" t="n">
        <v>45693</v>
      </c>
      <c r="E585" s="1" t="n">
        <v>46217</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5587-2025</t>
        </is>
      </c>
      <c r="B586" t="inlineStr">
        <is>
          <t>avverkningsanmälan</t>
        </is>
      </c>
      <c r="C586" t="inlineStr">
        <is>
          <t>Föryngringsavverkning</t>
        </is>
      </c>
      <c r="D586" s="1" t="n">
        <v>45693</v>
      </c>
      <c r="E586" s="1" t="n">
        <v>46217</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52886-2024</t>
        </is>
      </c>
      <c r="B587" t="inlineStr">
        <is>
          <t>avverkningsanmälan</t>
        </is>
      </c>
      <c r="C587" t="inlineStr">
        <is>
          <t>Föryngringsavverkning</t>
        </is>
      </c>
      <c r="D587" s="1" t="n">
        <v>45610</v>
      </c>
      <c r="E587" s="1" t="n">
        <v>46217</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24328-2026</t>
        </is>
      </c>
      <c r="B588" t="inlineStr">
        <is>
          <t>avverkningsanmälan</t>
        </is>
      </c>
      <c r="C588" t="inlineStr">
        <is>
          <t>Föryngringsavverkning</t>
        </is>
      </c>
      <c r="D588" s="1" t="n">
        <v>46169</v>
      </c>
      <c r="E588" s="1" t="n">
        <v>46217</v>
      </c>
      <c r="F588" t="inlineStr">
        <is>
          <t>KALMAR LÄN</t>
        </is>
      </c>
      <c r="G588" t="inlineStr">
        <is>
          <t>HULTSFRED</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30712-2026</t>
        </is>
      </c>
      <c r="B589" t="inlineStr">
        <is>
          <t>avverkningsanmälan</t>
        </is>
      </c>
      <c r="C589" t="inlineStr">
        <is>
          <t>Föryngringsavverkning</t>
        </is>
      </c>
      <c r="D589" s="1" t="n">
        <v>46211</v>
      </c>
      <c r="E589" s="1" t="n">
        <v>46217</v>
      </c>
      <c r="F589" t="inlineStr">
        <is>
          <t>KALMAR LÄN</t>
        </is>
      </c>
      <c r="G589" t="inlineStr">
        <is>
          <t>HULTSFRED</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23852-2024</t>
        </is>
      </c>
      <c r="B590" t="inlineStr">
        <is>
          <t>avverkningsanmälan</t>
        </is>
      </c>
      <c r="C590" t="inlineStr">
        <is>
          <t>Föryngringsavverkning</t>
        </is>
      </c>
      <c r="D590" s="1" t="n">
        <v>45455</v>
      </c>
      <c r="E590" s="1" t="n">
        <v>46217</v>
      </c>
      <c r="F590" t="inlineStr">
        <is>
          <t>KALMAR LÄN</t>
        </is>
      </c>
      <c r="G590" t="inlineStr">
        <is>
          <t>HULTSFRED</t>
        </is>
      </c>
      <c r="I590" t="n">
        <v>2.2</v>
      </c>
      <c r="J590" t="n">
        <v>0</v>
      </c>
      <c r="K590" t="n">
        <v>0</v>
      </c>
      <c r="L590" t="n">
        <v>0</v>
      </c>
      <c r="M590" t="n">
        <v>0</v>
      </c>
      <c r="N590" t="n">
        <v>0</v>
      </c>
      <c r="O590" t="n">
        <v>0</v>
      </c>
      <c r="P590" t="n">
        <v>0</v>
      </c>
      <c r="Q590" t="n">
        <v>0</v>
      </c>
      <c r="R590" t="n">
        <v>0</v>
      </c>
      <c r="S590" t="n">
        <v>0</v>
      </c>
      <c r="T590" t="n">
        <v>0</v>
      </c>
      <c r="U590" s="2" t="inlineStr"/>
    </row>
    <row r="591" ht="15" customHeight="1">
      <c r="A591" t="inlineStr">
        <is>
          <t>A 4659-2024</t>
        </is>
      </c>
      <c r="B591" t="inlineStr">
        <is>
          <t>avverkningsanmälan</t>
        </is>
      </c>
      <c r="C591" t="inlineStr">
        <is>
          <t>Föryngringsavverkning</t>
        </is>
      </c>
      <c r="D591" s="1" t="n">
        <v>45328</v>
      </c>
      <c r="E591" s="1" t="n">
        <v>46217</v>
      </c>
      <c r="F591" t="inlineStr">
        <is>
          <t>KALMAR LÄN</t>
        </is>
      </c>
      <c r="G591" t="inlineStr">
        <is>
          <t>HULTSFRED</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70600-2021</t>
        </is>
      </c>
      <c r="B592" t="inlineStr">
        <is>
          <t>avverkningsanmälan</t>
        </is>
      </c>
      <c r="C592" t="inlineStr">
        <is>
          <t>Föryngringsavverkning</t>
        </is>
      </c>
      <c r="D592" s="1" t="n">
        <v>44537</v>
      </c>
      <c r="E592" s="1" t="n">
        <v>46217</v>
      </c>
      <c r="F592" t="inlineStr">
        <is>
          <t>KALMAR LÄN</t>
        </is>
      </c>
      <c r="G592" t="inlineStr">
        <is>
          <t>HULTSFRED</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30730-2026</t>
        </is>
      </c>
      <c r="B593" t="inlineStr">
        <is>
          <t>avverkningsanmälan</t>
        </is>
      </c>
      <c r="C593" t="inlineStr">
        <is>
          <t>Föryngringsavverkning</t>
        </is>
      </c>
      <c r="D593" s="1" t="n">
        <v>46211</v>
      </c>
      <c r="E593" s="1" t="n">
        <v>46217</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30731-2026</t>
        </is>
      </c>
      <c r="B594" t="inlineStr">
        <is>
          <t>avverkningsanmälan</t>
        </is>
      </c>
      <c r="C594" t="inlineStr">
        <is>
          <t>Föryngringsavverkning</t>
        </is>
      </c>
      <c r="D594" s="1" t="n">
        <v>46211</v>
      </c>
      <c r="E594" s="1" t="n">
        <v>46217</v>
      </c>
      <c r="F594" t="inlineStr">
        <is>
          <t>KALMAR LÄN</t>
        </is>
      </c>
      <c r="G594" t="inlineStr">
        <is>
          <t>HULTSFRED</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40009-2023</t>
        </is>
      </c>
      <c r="B595" t="inlineStr">
        <is>
          <t>avverkningsanmälan</t>
        </is>
      </c>
      <c r="C595" t="inlineStr">
        <is>
          <t>Föryngringsavverkning</t>
        </is>
      </c>
      <c r="D595" s="1" t="n">
        <v>45168</v>
      </c>
      <c r="E595" s="1" t="n">
        <v>46217</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50269-2023</t>
        </is>
      </c>
      <c r="B596" t="inlineStr">
        <is>
          <t>avverkningsanmälan</t>
        </is>
      </c>
      <c r="C596" t="inlineStr">
        <is>
          <t>Föryngringsavverkning</t>
        </is>
      </c>
      <c r="D596" s="1" t="n">
        <v>45209</v>
      </c>
      <c r="E596" s="1" t="n">
        <v>46217</v>
      </c>
      <c r="F596" t="inlineStr">
        <is>
          <t>KALMAR LÄN</t>
        </is>
      </c>
      <c r="G596" t="inlineStr">
        <is>
          <t>HULTSFRED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28238-2024</t>
        </is>
      </c>
      <c r="B597" t="inlineStr">
        <is>
          <t>avverkningsanmälan</t>
        </is>
      </c>
      <c r="C597" t="inlineStr">
        <is>
          <t>Föryngringsavverkning</t>
        </is>
      </c>
      <c r="D597" s="1" t="n">
        <v>45477</v>
      </c>
      <c r="E597" s="1" t="n">
        <v>46217</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16985-2024</t>
        </is>
      </c>
      <c r="B598" t="inlineStr">
        <is>
          <t>avverkningsanmälan</t>
        </is>
      </c>
      <c r="C598" t="inlineStr">
        <is>
          <t>Föryngringsavverkning</t>
        </is>
      </c>
      <c r="D598" s="1" t="n">
        <v>45412</v>
      </c>
      <c r="E598" s="1" t="n">
        <v>46217</v>
      </c>
      <c r="F598" t="inlineStr">
        <is>
          <t>KALMAR LÄN</t>
        </is>
      </c>
      <c r="G598" t="inlineStr">
        <is>
          <t>HULTSFRED</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30978-2026</t>
        </is>
      </c>
      <c r="B599" t="inlineStr">
        <is>
          <t>avverkningsanmälan</t>
        </is>
      </c>
      <c r="C599" t="inlineStr">
        <is>
          <t>Föryngringsavverkning</t>
        </is>
      </c>
      <c r="D599" s="1" t="n">
        <v>46213</v>
      </c>
      <c r="E599" s="1" t="n">
        <v>46217</v>
      </c>
      <c r="F599" t="inlineStr">
        <is>
          <t>KALMAR LÄN</t>
        </is>
      </c>
      <c r="G599" t="inlineStr">
        <is>
          <t>HULTSFRED</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17131-2024</t>
        </is>
      </c>
      <c r="B600" t="inlineStr">
        <is>
          <t>avverkningsanmälan</t>
        </is>
      </c>
      <c r="C600" t="inlineStr">
        <is>
          <t>Föryngringsavverkning</t>
        </is>
      </c>
      <c r="D600" s="1" t="n">
        <v>45412</v>
      </c>
      <c r="E600" s="1" t="n">
        <v>46217</v>
      </c>
      <c r="F600" t="inlineStr">
        <is>
          <t>KALMAR LÄN</t>
        </is>
      </c>
      <c r="G600" t="inlineStr">
        <is>
          <t>HULTSFRED</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24836-2026</t>
        </is>
      </c>
      <c r="B601" t="inlineStr">
        <is>
          <t>avverkningsanmälan</t>
        </is>
      </c>
      <c r="C601" t="inlineStr">
        <is>
          <t>Föryngringsavverkning</t>
        </is>
      </c>
      <c r="D601" s="1" t="n">
        <v>46174</v>
      </c>
      <c r="E601" s="1" t="n">
        <v>46217</v>
      </c>
      <c r="F601" t="inlineStr">
        <is>
          <t>KALMAR LÄN</t>
        </is>
      </c>
      <c r="G601" t="inlineStr">
        <is>
          <t>HULTSFRED</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34289-2024</t>
        </is>
      </c>
      <c r="B602" t="inlineStr">
        <is>
          <t>avverkningsanmälan</t>
        </is>
      </c>
      <c r="C602" t="inlineStr">
        <is>
          <t>Föryngringsavverkning</t>
        </is>
      </c>
      <c r="D602" s="1" t="n">
        <v>45524</v>
      </c>
      <c r="E602" s="1" t="n">
        <v>46217</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5002-2025</t>
        </is>
      </c>
      <c r="B603" t="inlineStr">
        <is>
          <t>avverkningsanmälan</t>
        </is>
      </c>
      <c r="C603" t="inlineStr">
        <is>
          <t>Föryngringsavverkning</t>
        </is>
      </c>
      <c r="D603" s="1" t="n">
        <v>45691</v>
      </c>
      <c r="E603" s="1" t="n">
        <v>46217</v>
      </c>
      <c r="F603" t="inlineStr">
        <is>
          <t>KALMAR LÄN</t>
        </is>
      </c>
      <c r="G603" t="inlineStr">
        <is>
          <t>HULTSFRED</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25183-2026</t>
        </is>
      </c>
      <c r="B604" t="inlineStr">
        <is>
          <t>avverkningsanmälan</t>
        </is>
      </c>
      <c r="C604" t="inlineStr">
        <is>
          <t>Föryngringsavverkning</t>
        </is>
      </c>
      <c r="D604" s="1" t="n">
        <v>46175</v>
      </c>
      <c r="E604" s="1" t="n">
        <v>46217</v>
      </c>
      <c r="F604" t="inlineStr">
        <is>
          <t>KALMAR LÄN</t>
        </is>
      </c>
      <c r="G604" t="inlineStr">
        <is>
          <t>HULTSFRED</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41187-2024</t>
        </is>
      </c>
      <c r="B605" t="inlineStr">
        <is>
          <t>avverkningsanmälan</t>
        </is>
      </c>
      <c r="C605" t="inlineStr">
        <is>
          <t>Avverkning för annat ändamål</t>
        </is>
      </c>
      <c r="D605" s="1" t="n">
        <v>45559</v>
      </c>
      <c r="E605" s="1" t="n">
        <v>46217</v>
      </c>
      <c r="F605" t="inlineStr">
        <is>
          <t>KALMAR LÄN</t>
        </is>
      </c>
      <c r="G605" t="inlineStr">
        <is>
          <t>HULTSFRED</t>
        </is>
      </c>
      <c r="I605" t="n">
        <v>0.4</v>
      </c>
      <c r="J605" t="n">
        <v>0</v>
      </c>
      <c r="K605" t="n">
        <v>0</v>
      </c>
      <c r="L605" t="n">
        <v>0</v>
      </c>
      <c r="M605" t="n">
        <v>0</v>
      </c>
      <c r="N605" t="n">
        <v>0</v>
      </c>
      <c r="O605" t="n">
        <v>0</v>
      </c>
      <c r="P605" t="n">
        <v>0</v>
      </c>
      <c r="Q605" t="n">
        <v>0</v>
      </c>
      <c r="R605" t="n">
        <v>0</v>
      </c>
      <c r="S605" t="n">
        <v>0</v>
      </c>
      <c r="T605" t="n">
        <v>0</v>
      </c>
      <c r="U605" s="2" t="inlineStr"/>
    </row>
    <row r="606" ht="15" customHeight="1">
      <c r="A606" t="inlineStr">
        <is>
          <t>A 24477-2026</t>
        </is>
      </c>
      <c r="B606" t="inlineStr">
        <is>
          <t>avverkningsanmälan</t>
        </is>
      </c>
      <c r="C606" t="inlineStr">
        <is>
          <t>Föryngringsavverkning</t>
        </is>
      </c>
      <c r="D606" s="1" t="n">
        <v>46170</v>
      </c>
      <c r="E606" s="1" t="n">
        <v>46217</v>
      </c>
      <c r="F606" t="inlineStr">
        <is>
          <t>KALMAR LÄN</t>
        </is>
      </c>
      <c r="G606" t="inlineStr">
        <is>
          <t>HULTSFRED</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24775-2026</t>
        </is>
      </c>
      <c r="B607" t="inlineStr">
        <is>
          <t>avverkningsanmälan</t>
        </is>
      </c>
      <c r="C607" t="inlineStr">
        <is>
          <t>Föryngringsavverkning</t>
        </is>
      </c>
      <c r="D607" s="1" t="n">
        <v>46171</v>
      </c>
      <c r="E607" s="1" t="n">
        <v>46217</v>
      </c>
      <c r="F607" t="inlineStr">
        <is>
          <t>KALMAR LÄN</t>
        </is>
      </c>
      <c r="G607" t="inlineStr">
        <is>
          <t>HULTSFRED</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24774-2026</t>
        </is>
      </c>
      <c r="B608" t="inlineStr">
        <is>
          <t>avverkningsanmälan</t>
        </is>
      </c>
      <c r="C608" t="inlineStr">
        <is>
          <t>Föryngringsavverkning</t>
        </is>
      </c>
      <c r="D608" s="1" t="n">
        <v>46171</v>
      </c>
      <c r="E608" s="1" t="n">
        <v>46217</v>
      </c>
      <c r="F608" t="inlineStr">
        <is>
          <t>KALMAR LÄN</t>
        </is>
      </c>
      <c r="G608" t="inlineStr">
        <is>
          <t>HULTSFRED</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24478-2026</t>
        </is>
      </c>
      <c r="B609" t="inlineStr">
        <is>
          <t>avverkningsanmälan</t>
        </is>
      </c>
      <c r="C609" t="inlineStr">
        <is>
          <t>Föryngringsavverkning</t>
        </is>
      </c>
      <c r="D609" s="1" t="n">
        <v>46170</v>
      </c>
      <c r="E609" s="1" t="n">
        <v>46217</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s="2" t="inlineStr"/>
    </row>
    <row r="610" ht="15" customHeight="1">
      <c r="A610" t="inlineStr">
        <is>
          <t>A 30985-2026</t>
        </is>
      </c>
      <c r="B610" t="inlineStr">
        <is>
          <t>avverkningsanmälan</t>
        </is>
      </c>
      <c r="C610" t="inlineStr">
        <is>
          <t>Föryngringsavverkning</t>
        </is>
      </c>
      <c r="D610" s="1" t="n">
        <v>46213</v>
      </c>
      <c r="E610" s="1" t="n">
        <v>46217</v>
      </c>
      <c r="F610" t="inlineStr">
        <is>
          <t>KALMAR LÄN</t>
        </is>
      </c>
      <c r="G610" t="inlineStr">
        <is>
          <t>HULTSFRED</t>
        </is>
      </c>
      <c r="I610" t="n">
        <v>2.9</v>
      </c>
      <c r="J610" t="n">
        <v>0</v>
      </c>
      <c r="K610" t="n">
        <v>0</v>
      </c>
      <c r="L610" t="n">
        <v>0</v>
      </c>
      <c r="M610" t="n">
        <v>0</v>
      </c>
      <c r="N610" t="n">
        <v>0</v>
      </c>
      <c r="O610" t="n">
        <v>0</v>
      </c>
      <c r="P610" t="n">
        <v>0</v>
      </c>
      <c r="Q610" t="n">
        <v>0</v>
      </c>
      <c r="R610" t="n">
        <v>0</v>
      </c>
      <c r="S610" t="n">
        <v>0</v>
      </c>
      <c r="T610" t="n">
        <v>0</v>
      </c>
      <c r="U610" s="2" t="inlineStr"/>
    </row>
    <row r="611" ht="15" customHeight="1">
      <c r="A611" t="inlineStr">
        <is>
          <t>A 57707-2021</t>
        </is>
      </c>
      <c r="B611" t="inlineStr">
        <is>
          <t>avverkningsanmälan</t>
        </is>
      </c>
      <c r="C611" t="inlineStr">
        <is>
          <t>Föryngringsavverkning</t>
        </is>
      </c>
      <c r="D611" s="1" t="n">
        <v>44484</v>
      </c>
      <c r="E611" s="1" t="n">
        <v>46217</v>
      </c>
      <c r="F611" t="inlineStr">
        <is>
          <t>KALMAR LÄN</t>
        </is>
      </c>
      <c r="G611" t="inlineStr">
        <is>
          <t>HULTSFRED</t>
        </is>
      </c>
      <c r="H611" t="inlineStr">
        <is>
          <t>Kyrkan</t>
        </is>
      </c>
      <c r="I611" t="n">
        <v>2.4</v>
      </c>
      <c r="J611" t="n">
        <v>0</v>
      </c>
      <c r="K611" t="n">
        <v>0</v>
      </c>
      <c r="L611" t="n">
        <v>0</v>
      </c>
      <c r="M611" t="n">
        <v>0</v>
      </c>
      <c r="N611" t="n">
        <v>0</v>
      </c>
      <c r="O611" t="n">
        <v>0</v>
      </c>
      <c r="P611" t="n">
        <v>0</v>
      </c>
      <c r="Q611" t="n">
        <v>0</v>
      </c>
      <c r="R611" t="n">
        <v>0</v>
      </c>
      <c r="S611" t="n">
        <v>0</v>
      </c>
      <c r="T611" t="n">
        <v>0</v>
      </c>
      <c r="U611" s="2" t="inlineStr"/>
    </row>
    <row r="612" ht="15" customHeight="1">
      <c r="A612" t="inlineStr">
        <is>
          <t>A 25189-2026</t>
        </is>
      </c>
      <c r="B612" t="inlineStr">
        <is>
          <t>avverkningsanmälan</t>
        </is>
      </c>
      <c r="C612" t="inlineStr">
        <is>
          <t>Föryngringsavverkning</t>
        </is>
      </c>
      <c r="D612" s="1" t="n">
        <v>46175</v>
      </c>
      <c r="E612" s="1" t="n">
        <v>46217</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s="2" t="inlineStr"/>
    </row>
    <row r="613" ht="15" customHeight="1">
      <c r="A613" t="inlineStr">
        <is>
          <t>A 25153-2026</t>
        </is>
      </c>
      <c r="B613" t="inlineStr">
        <is>
          <t>avverkningsanmälan</t>
        </is>
      </c>
      <c r="C613" t="inlineStr">
        <is>
          <t>Föryngringsavverkning</t>
        </is>
      </c>
      <c r="D613" s="1" t="n">
        <v>46175</v>
      </c>
      <c r="E613" s="1" t="n">
        <v>46217</v>
      </c>
      <c r="F613" t="inlineStr">
        <is>
          <t>KALMAR LÄN</t>
        </is>
      </c>
      <c r="G613" t="inlineStr">
        <is>
          <t>HULTSFRED</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14094-2022</t>
        </is>
      </c>
      <c r="B614" t="inlineStr">
        <is>
          <t>avverkningsanmälan</t>
        </is>
      </c>
      <c r="C614" t="inlineStr">
        <is>
          <t>Föryngringsavverkning</t>
        </is>
      </c>
      <c r="D614" s="1" t="n">
        <v>44651</v>
      </c>
      <c r="E614" s="1" t="n">
        <v>46217</v>
      </c>
      <c r="F614" t="inlineStr">
        <is>
          <t>KALMAR LÄN</t>
        </is>
      </c>
      <c r="G614" t="inlineStr">
        <is>
          <t>HULTSFRED</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25354-2026</t>
        </is>
      </c>
      <c r="B615" t="inlineStr">
        <is>
          <t>avverkningsanmälan</t>
        </is>
      </c>
      <c r="C615" t="inlineStr">
        <is>
          <t>Föryngringsavverkning</t>
        </is>
      </c>
      <c r="D615" s="1" t="n">
        <v>46176</v>
      </c>
      <c r="E615" s="1" t="n">
        <v>46217</v>
      </c>
      <c r="F615" t="inlineStr">
        <is>
          <t>KALMAR LÄN</t>
        </is>
      </c>
      <c r="G615" t="inlineStr">
        <is>
          <t>HULTSFRED</t>
        </is>
      </c>
      <c r="I615" t="n">
        <v>5.6</v>
      </c>
      <c r="J615" t="n">
        <v>0</v>
      </c>
      <c r="K615" t="n">
        <v>0</v>
      </c>
      <c r="L615" t="n">
        <v>0</v>
      </c>
      <c r="M615" t="n">
        <v>0</v>
      </c>
      <c r="N615" t="n">
        <v>0</v>
      </c>
      <c r="O615" t="n">
        <v>0</v>
      </c>
      <c r="P615" t="n">
        <v>0</v>
      </c>
      <c r="Q615" t="n">
        <v>0</v>
      </c>
      <c r="R615" t="n">
        <v>0</v>
      </c>
      <c r="S615" t="n">
        <v>0</v>
      </c>
      <c r="T615" t="n">
        <v>0</v>
      </c>
      <c r="U615" s="2" t="inlineStr"/>
    </row>
    <row r="616" ht="15" customHeight="1">
      <c r="A616" t="inlineStr">
        <is>
          <t>A 24637-2026</t>
        </is>
      </c>
      <c r="B616" t="inlineStr">
        <is>
          <t>avverkningsanmälan</t>
        </is>
      </c>
      <c r="C616" t="inlineStr">
        <is>
          <t>Avverkning för att bevara och utveckla /försöksver</t>
        </is>
      </c>
      <c r="D616" s="1" t="n">
        <v>46171</v>
      </c>
      <c r="E616" s="1" t="n">
        <v>46217</v>
      </c>
      <c r="F616" t="inlineStr">
        <is>
          <t>KALMAR LÄN</t>
        </is>
      </c>
      <c r="G616" t="inlineStr">
        <is>
          <t>HULTSFRED</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30995-2026</t>
        </is>
      </c>
      <c r="B617" t="inlineStr">
        <is>
          <t>avverkningsanmälan</t>
        </is>
      </c>
      <c r="C617" t="inlineStr">
        <is>
          <t>Föryngringsavverkning</t>
        </is>
      </c>
      <c r="D617" s="1" t="n">
        <v>46213</v>
      </c>
      <c r="E617" s="1" t="n">
        <v>46217</v>
      </c>
      <c r="F617" t="inlineStr">
        <is>
          <t>KALMAR LÄN</t>
        </is>
      </c>
      <c r="G617" t="inlineStr">
        <is>
          <t>HULTSFRED</t>
        </is>
      </c>
      <c r="I617" t="n">
        <v>4</v>
      </c>
      <c r="J617" t="n">
        <v>0</v>
      </c>
      <c r="K617" t="n">
        <v>0</v>
      </c>
      <c r="L617" t="n">
        <v>0</v>
      </c>
      <c r="M617" t="n">
        <v>0</v>
      </c>
      <c r="N617" t="n">
        <v>0</v>
      </c>
      <c r="O617" t="n">
        <v>0</v>
      </c>
      <c r="P617" t="n">
        <v>0</v>
      </c>
      <c r="Q617" t="n">
        <v>0</v>
      </c>
      <c r="R617" t="n">
        <v>0</v>
      </c>
      <c r="S617" t="n">
        <v>0</v>
      </c>
      <c r="T617" t="n">
        <v>0</v>
      </c>
      <c r="U617" s="2" t="inlineStr"/>
    </row>
    <row r="618" ht="15" customHeight="1">
      <c r="A618" t="inlineStr">
        <is>
          <t>A 25360-2026</t>
        </is>
      </c>
      <c r="B618" t="inlineStr">
        <is>
          <t>avverkningsanmälan</t>
        </is>
      </c>
      <c r="C618" t="inlineStr">
        <is>
          <t>Föryngringsavverkning</t>
        </is>
      </c>
      <c r="D618" s="1" t="n">
        <v>46176</v>
      </c>
      <c r="E618" s="1" t="n">
        <v>46217</v>
      </c>
      <c r="F618" t="inlineStr">
        <is>
          <t>KALMAR LÄN</t>
        </is>
      </c>
      <c r="G618" t="inlineStr">
        <is>
          <t>HULTSFRED</t>
        </is>
      </c>
      <c r="I618" t="n">
        <v>1.8</v>
      </c>
      <c r="J618" t="n">
        <v>0</v>
      </c>
      <c r="K618" t="n">
        <v>0</v>
      </c>
      <c r="L618" t="n">
        <v>0</v>
      </c>
      <c r="M618" t="n">
        <v>0</v>
      </c>
      <c r="N618" t="n">
        <v>0</v>
      </c>
      <c r="O618" t="n">
        <v>0</v>
      </c>
      <c r="P618" t="n">
        <v>0</v>
      </c>
      <c r="Q618" t="n">
        <v>0</v>
      </c>
      <c r="R618" t="n">
        <v>0</v>
      </c>
      <c r="S618" t="n">
        <v>0</v>
      </c>
      <c r="T618" t="n">
        <v>0</v>
      </c>
      <c r="U618" s="2" t="inlineStr"/>
    </row>
    <row r="619" ht="15" customHeight="1">
      <c r="A619" t="inlineStr">
        <is>
          <t>A 25157-2026</t>
        </is>
      </c>
      <c r="B619" t="inlineStr">
        <is>
          <t>avverkningsanmälan</t>
        </is>
      </c>
      <c r="C619" t="inlineStr">
        <is>
          <t>Föryngringsavverkning</t>
        </is>
      </c>
      <c r="D619" s="1" t="n">
        <v>46175</v>
      </c>
      <c r="E619" s="1" t="n">
        <v>46217</v>
      </c>
      <c r="F619" t="inlineStr">
        <is>
          <t>KALMAR LÄN</t>
        </is>
      </c>
      <c r="G619" t="inlineStr">
        <is>
          <t>HULTSFRED</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30965-2026</t>
        </is>
      </c>
      <c r="B620" t="inlineStr">
        <is>
          <t>avverkningsanmälan</t>
        </is>
      </c>
      <c r="C620" t="inlineStr">
        <is>
          <t>Föryngringsavverkning</t>
        </is>
      </c>
      <c r="D620" s="1" t="n">
        <v>46213</v>
      </c>
      <c r="E620" s="1" t="n">
        <v>46217</v>
      </c>
      <c r="F620" t="inlineStr">
        <is>
          <t>KALMAR LÄN</t>
        </is>
      </c>
      <c r="G620" t="inlineStr">
        <is>
          <t>HULTSFRED</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26437-2023</t>
        </is>
      </c>
      <c r="B621" t="inlineStr">
        <is>
          <t>avverkningsanmälan</t>
        </is>
      </c>
      <c r="C621" t="inlineStr">
        <is>
          <t>Föryngringsavverkning</t>
        </is>
      </c>
      <c r="D621" s="1" t="n">
        <v>45092</v>
      </c>
      <c r="E621" s="1" t="n">
        <v>46217</v>
      </c>
      <c r="F621" t="inlineStr">
        <is>
          <t>KALMAR LÄN</t>
        </is>
      </c>
      <c r="G621" t="inlineStr">
        <is>
          <t>HULTSFRED</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43633-2023</t>
        </is>
      </c>
      <c r="B622" t="inlineStr">
        <is>
          <t>avverkningsanmälan</t>
        </is>
      </c>
      <c r="C622" t="inlineStr">
        <is>
          <t>Föryngringsavverkning</t>
        </is>
      </c>
      <c r="D622" s="1" t="n">
        <v>45185</v>
      </c>
      <c r="E622" s="1" t="n">
        <v>46217</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40865-2022</t>
        </is>
      </c>
      <c r="B623" t="inlineStr">
        <is>
          <t>avverkningsanmälan</t>
        </is>
      </c>
      <c r="C623" t="inlineStr">
        <is>
          <t>Föryngringsavverkning</t>
        </is>
      </c>
      <c r="D623" s="1" t="n">
        <v>44825</v>
      </c>
      <c r="E623" s="1" t="n">
        <v>46217</v>
      </c>
      <c r="F623" t="inlineStr">
        <is>
          <t>KALMAR LÄN</t>
        </is>
      </c>
      <c r="G623" t="inlineStr">
        <is>
          <t>HULTSFRED</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62361-2021</t>
        </is>
      </c>
      <c r="B624" t="inlineStr">
        <is>
          <t>avverkningsanmälan</t>
        </is>
      </c>
      <c r="C624" t="inlineStr">
        <is>
          <t>Föryngringsavverkning</t>
        </is>
      </c>
      <c r="D624" s="1" t="n">
        <v>44502</v>
      </c>
      <c r="E624" s="1" t="n">
        <v>46217</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35721-2023</t>
        </is>
      </c>
      <c r="B625" t="inlineStr">
        <is>
          <t>avverkningsanmälan</t>
        </is>
      </c>
      <c r="C625" t="inlineStr">
        <is>
          <t>Föryngringsavverkning</t>
        </is>
      </c>
      <c r="D625" s="1" t="n">
        <v>45147</v>
      </c>
      <c r="E625" s="1" t="n">
        <v>46217</v>
      </c>
      <c r="F625" t="inlineStr">
        <is>
          <t>KALMAR LÄN</t>
        </is>
      </c>
      <c r="G625" t="inlineStr">
        <is>
          <t>HULTSFRED</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58825-2022</t>
        </is>
      </c>
      <c r="B626" t="inlineStr">
        <is>
          <t>avverkningsanmälan</t>
        </is>
      </c>
      <c r="C626" t="inlineStr">
        <is>
          <t>Föryngringsavverkning</t>
        </is>
      </c>
      <c r="D626" s="1" t="n">
        <v>44903</v>
      </c>
      <c r="E626" s="1" t="n">
        <v>46217</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36663-2023</t>
        </is>
      </c>
      <c r="B627" t="inlineStr">
        <is>
          <t>avverkningsanmälan</t>
        </is>
      </c>
      <c r="C627" t="inlineStr">
        <is>
          <t>Föryngringsavverkning</t>
        </is>
      </c>
      <c r="D627" s="1" t="n">
        <v>45153</v>
      </c>
      <c r="E627" s="1" t="n">
        <v>46217</v>
      </c>
      <c r="F627" t="inlineStr">
        <is>
          <t>KALMAR LÄN</t>
        </is>
      </c>
      <c r="G627" t="inlineStr">
        <is>
          <t>HULTSFRED</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36692-2023</t>
        </is>
      </c>
      <c r="B628" t="inlineStr">
        <is>
          <t>avverkningsanmälan</t>
        </is>
      </c>
      <c r="C628" t="inlineStr">
        <is>
          <t>Föryngringsavverkning</t>
        </is>
      </c>
      <c r="D628" s="1" t="n">
        <v>45153</v>
      </c>
      <c r="E628" s="1" t="n">
        <v>46217</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11235-2023</t>
        </is>
      </c>
      <c r="B629" t="inlineStr">
        <is>
          <t>avverkningsanmälan</t>
        </is>
      </c>
      <c r="C629" t="inlineStr">
        <is>
          <t>Föryngringsavverkning</t>
        </is>
      </c>
      <c r="D629" s="1" t="n">
        <v>44992</v>
      </c>
      <c r="E629" s="1" t="n">
        <v>46217</v>
      </c>
      <c r="F629" t="inlineStr">
        <is>
          <t>KALMAR LÄN</t>
        </is>
      </c>
      <c r="G629" t="inlineStr">
        <is>
          <t>HULTSFRED</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40792-2022</t>
        </is>
      </c>
      <c r="B630" t="inlineStr">
        <is>
          <t>avverkningsanmälan</t>
        </is>
      </c>
      <c r="C630" t="inlineStr">
        <is>
          <t>Föryngringsavverkning</t>
        </is>
      </c>
      <c r="D630" s="1" t="n">
        <v>44824</v>
      </c>
      <c r="E630" s="1" t="n">
        <v>46217</v>
      </c>
      <c r="F630" t="inlineStr">
        <is>
          <t>KALMAR LÄN</t>
        </is>
      </c>
      <c r="G630" t="inlineStr">
        <is>
          <t>HULTSFRED</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17058-2024</t>
        </is>
      </c>
      <c r="B631" t="inlineStr">
        <is>
          <t>avverkningsanmälan</t>
        </is>
      </c>
      <c r="C631" t="inlineStr">
        <is>
          <t>Föryngringsavverkning</t>
        </is>
      </c>
      <c r="D631" s="1" t="n">
        <v>45412</v>
      </c>
      <c r="E631" s="1" t="n">
        <v>46217</v>
      </c>
      <c r="F631" t="inlineStr">
        <is>
          <t>KALMAR LÄN</t>
        </is>
      </c>
      <c r="G631" t="inlineStr">
        <is>
          <t>HULTSFRED</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9589-2024</t>
        </is>
      </c>
      <c r="B632" t="inlineStr">
        <is>
          <t>avverkningsanmälan</t>
        </is>
      </c>
      <c r="C632" t="inlineStr">
        <is>
          <t>Föryngringsavverkning</t>
        </is>
      </c>
      <c r="D632" s="1" t="n">
        <v>45360</v>
      </c>
      <c r="E632" s="1" t="n">
        <v>46217</v>
      </c>
      <c r="F632" t="inlineStr">
        <is>
          <t>KALMAR LÄN</t>
        </is>
      </c>
      <c r="G632" t="inlineStr">
        <is>
          <t>HULTSFRED</t>
        </is>
      </c>
      <c r="H632" t="inlineStr">
        <is>
          <t>Sveaskog</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61211-2021</t>
        </is>
      </c>
      <c r="B633" t="inlineStr">
        <is>
          <t>avverkningsanmälan</t>
        </is>
      </c>
      <c r="C633" t="inlineStr">
        <is>
          <t>Föryngringsavverkning</t>
        </is>
      </c>
      <c r="D633" s="1" t="n">
        <v>44498</v>
      </c>
      <c r="E633" s="1" t="n">
        <v>46217</v>
      </c>
      <c r="F633" t="inlineStr">
        <is>
          <t>KALMAR LÄN</t>
        </is>
      </c>
      <c r="G633" t="inlineStr">
        <is>
          <t>HULTSFRED</t>
        </is>
      </c>
      <c r="I633" t="n">
        <v>5.4</v>
      </c>
      <c r="J633" t="n">
        <v>0</v>
      </c>
      <c r="K633" t="n">
        <v>0</v>
      </c>
      <c r="L633" t="n">
        <v>0</v>
      </c>
      <c r="M633" t="n">
        <v>0</v>
      </c>
      <c r="N633" t="n">
        <v>0</v>
      </c>
      <c r="O633" t="n">
        <v>0</v>
      </c>
      <c r="P633" t="n">
        <v>0</v>
      </c>
      <c r="Q633" t="n">
        <v>0</v>
      </c>
      <c r="R633" t="n">
        <v>0</v>
      </c>
      <c r="S633" t="n">
        <v>0</v>
      </c>
      <c r="T633" t="n">
        <v>0</v>
      </c>
      <c r="U633" s="2" t="inlineStr"/>
    </row>
    <row r="634" ht="15" customHeight="1">
      <c r="A634" t="inlineStr">
        <is>
          <t>A 8807-2024</t>
        </is>
      </c>
      <c r="B634" t="inlineStr">
        <is>
          <t>avverkningsanmälan</t>
        </is>
      </c>
      <c r="C634" t="inlineStr">
        <is>
          <t>Föryngringsavverkning</t>
        </is>
      </c>
      <c r="D634" s="1" t="n">
        <v>45355</v>
      </c>
      <c r="E634" s="1" t="n">
        <v>46217</v>
      </c>
      <c r="F634" t="inlineStr">
        <is>
          <t>KALMAR LÄN</t>
        </is>
      </c>
      <c r="G634" t="inlineStr">
        <is>
          <t>HULTSFRED</t>
        </is>
      </c>
      <c r="I634" t="n">
        <v>1.7</v>
      </c>
      <c r="J634" t="n">
        <v>0</v>
      </c>
      <c r="K634" t="n">
        <v>0</v>
      </c>
      <c r="L634" t="n">
        <v>0</v>
      </c>
      <c r="M634" t="n">
        <v>0</v>
      </c>
      <c r="N634" t="n">
        <v>0</v>
      </c>
      <c r="O634" t="n">
        <v>0</v>
      </c>
      <c r="P634" t="n">
        <v>0</v>
      </c>
      <c r="Q634" t="n">
        <v>0</v>
      </c>
      <c r="R634" t="n">
        <v>0</v>
      </c>
      <c r="S634" t="n">
        <v>0</v>
      </c>
      <c r="T634" t="n">
        <v>0</v>
      </c>
      <c r="U634" s="2" t="inlineStr"/>
    </row>
    <row r="635" ht="15" customHeight="1">
      <c r="A635" t="inlineStr">
        <is>
          <t>A 44188-2024</t>
        </is>
      </c>
      <c r="B635" t="inlineStr">
        <is>
          <t>avverkningsanmälan</t>
        </is>
      </c>
      <c r="C635" t="inlineStr">
        <is>
          <t>Föryngringsavverkning</t>
        </is>
      </c>
      <c r="D635" s="1" t="n">
        <v>45573</v>
      </c>
      <c r="E635" s="1" t="n">
        <v>46217</v>
      </c>
      <c r="F635" t="inlineStr">
        <is>
          <t>KALMAR LÄN</t>
        </is>
      </c>
      <c r="G635" t="inlineStr">
        <is>
          <t>HULTSFRED</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55396-2022</t>
        </is>
      </c>
      <c r="B636" t="inlineStr">
        <is>
          <t>avverkningsanmälan</t>
        </is>
      </c>
      <c r="C636" t="inlineStr">
        <is>
          <t>Föryngringsavverkning</t>
        </is>
      </c>
      <c r="D636" s="1" t="n">
        <v>44882</v>
      </c>
      <c r="E636" s="1" t="n">
        <v>46217</v>
      </c>
      <c r="F636" t="inlineStr">
        <is>
          <t>KALMAR LÄN</t>
        </is>
      </c>
      <c r="G636" t="inlineStr">
        <is>
          <t>HULTSFRED</t>
        </is>
      </c>
      <c r="I636" t="n">
        <v>5.4</v>
      </c>
      <c r="J636" t="n">
        <v>0</v>
      </c>
      <c r="K636" t="n">
        <v>0</v>
      </c>
      <c r="L636" t="n">
        <v>0</v>
      </c>
      <c r="M636" t="n">
        <v>0</v>
      </c>
      <c r="N636" t="n">
        <v>0</v>
      </c>
      <c r="O636" t="n">
        <v>0</v>
      </c>
      <c r="P636" t="n">
        <v>0</v>
      </c>
      <c r="Q636" t="n">
        <v>0</v>
      </c>
      <c r="R636" t="n">
        <v>0</v>
      </c>
      <c r="S636" t="n">
        <v>0</v>
      </c>
      <c r="T636" t="n">
        <v>0</v>
      </c>
      <c r="U636" s="2" t="inlineStr"/>
    </row>
    <row r="637" ht="15" customHeight="1">
      <c r="A637" t="inlineStr">
        <is>
          <t>A 18321-2023</t>
        </is>
      </c>
      <c r="B637" t="inlineStr">
        <is>
          <t>avverkningsanmälan</t>
        </is>
      </c>
      <c r="C637" t="inlineStr">
        <is>
          <t>Föryngringsavverkning</t>
        </is>
      </c>
      <c r="D637" s="1" t="n">
        <v>45041</v>
      </c>
      <c r="E637" s="1" t="n">
        <v>46217</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5993-2025</t>
        </is>
      </c>
      <c r="B638" t="inlineStr">
        <is>
          <t>avverkningsanmälan</t>
        </is>
      </c>
      <c r="C638" t="inlineStr">
        <is>
          <t>Föryngringsavverkning</t>
        </is>
      </c>
      <c r="D638" s="1" t="n">
        <v>45695</v>
      </c>
      <c r="E638" s="1" t="n">
        <v>46217</v>
      </c>
      <c r="F638" t="inlineStr">
        <is>
          <t>KALMAR LÄN</t>
        </is>
      </c>
      <c r="G638" t="inlineStr">
        <is>
          <t>HULTSFRED</t>
        </is>
      </c>
      <c r="H638" t="inlineStr">
        <is>
          <t>Sveaskog</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56944-2021</t>
        </is>
      </c>
      <c r="B639" t="inlineStr">
        <is>
          <t>avverkningsanmälan</t>
        </is>
      </c>
      <c r="C639" t="inlineStr">
        <is>
          <t>Föryngringsavverkning</t>
        </is>
      </c>
      <c r="D639" s="1" t="n">
        <v>44482</v>
      </c>
      <c r="E639" s="1" t="n">
        <v>46217</v>
      </c>
      <c r="F639" t="inlineStr">
        <is>
          <t>KALMAR LÄN</t>
        </is>
      </c>
      <c r="G639" t="inlineStr">
        <is>
          <t>HULTSFRED</t>
        </is>
      </c>
      <c r="I639" t="n">
        <v>2.3</v>
      </c>
      <c r="J639" t="n">
        <v>0</v>
      </c>
      <c r="K639" t="n">
        <v>0</v>
      </c>
      <c r="L639" t="n">
        <v>0</v>
      </c>
      <c r="M639" t="n">
        <v>0</v>
      </c>
      <c r="N639" t="n">
        <v>0</v>
      </c>
      <c r="O639" t="n">
        <v>0</v>
      </c>
      <c r="P639" t="n">
        <v>0</v>
      </c>
      <c r="Q639" t="n">
        <v>0</v>
      </c>
      <c r="R639" t="n">
        <v>0</v>
      </c>
      <c r="S639" t="n">
        <v>0</v>
      </c>
      <c r="T639" t="n">
        <v>0</v>
      </c>
      <c r="U639" s="2" t="inlineStr"/>
    </row>
    <row r="640" ht="15" customHeight="1">
      <c r="A640" t="inlineStr">
        <is>
          <t>A 51243-2022</t>
        </is>
      </c>
      <c r="B640" t="inlineStr">
        <is>
          <t>avverkningsanmälan</t>
        </is>
      </c>
      <c r="C640" t="inlineStr">
        <is>
          <t>Föryngringsavverkning</t>
        </is>
      </c>
      <c r="D640" s="1" t="n">
        <v>44868</v>
      </c>
      <c r="E640" s="1" t="n">
        <v>46217</v>
      </c>
      <c r="F640" t="inlineStr">
        <is>
          <t>KALMAR LÄN</t>
        </is>
      </c>
      <c r="G640" t="inlineStr">
        <is>
          <t>HULTSFRED</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11703-2023</t>
        </is>
      </c>
      <c r="B641" t="inlineStr">
        <is>
          <t>avverkningsanmälan</t>
        </is>
      </c>
      <c r="C641" t="inlineStr">
        <is>
          <t>Föryngringsavverkning</t>
        </is>
      </c>
      <c r="D641" s="1" t="n">
        <v>44994</v>
      </c>
      <c r="E641" s="1" t="n">
        <v>46217</v>
      </c>
      <c r="F641" t="inlineStr">
        <is>
          <t>KALMAR LÄN</t>
        </is>
      </c>
      <c r="G641" t="inlineStr">
        <is>
          <t>HULTSFRED</t>
        </is>
      </c>
      <c r="I641" t="n">
        <v>6.2</v>
      </c>
      <c r="J641" t="n">
        <v>0</v>
      </c>
      <c r="K641" t="n">
        <v>0</v>
      </c>
      <c r="L641" t="n">
        <v>0</v>
      </c>
      <c r="M641" t="n">
        <v>0</v>
      </c>
      <c r="N641" t="n">
        <v>0</v>
      </c>
      <c r="O641" t="n">
        <v>0</v>
      </c>
      <c r="P641" t="n">
        <v>0</v>
      </c>
      <c r="Q641" t="n">
        <v>0</v>
      </c>
      <c r="R641" t="n">
        <v>0</v>
      </c>
      <c r="S641" t="n">
        <v>0</v>
      </c>
      <c r="T641" t="n">
        <v>0</v>
      </c>
      <c r="U641" s="2" t="inlineStr"/>
    </row>
    <row r="642" ht="15" customHeight="1">
      <c r="A642" t="inlineStr">
        <is>
          <t>A 53990-2022</t>
        </is>
      </c>
      <c r="B642" t="inlineStr">
        <is>
          <t>avverkningsanmälan</t>
        </is>
      </c>
      <c r="C642" t="inlineStr">
        <is>
          <t>Föryngringsavverkning</t>
        </is>
      </c>
      <c r="D642" s="1" t="n">
        <v>44881</v>
      </c>
      <c r="E642" s="1" t="n">
        <v>46217</v>
      </c>
      <c r="F642" t="inlineStr">
        <is>
          <t>KALMAR LÄN</t>
        </is>
      </c>
      <c r="G642" t="inlineStr">
        <is>
          <t>HULTSFRED</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24337-2023</t>
        </is>
      </c>
      <c r="B643" t="inlineStr">
        <is>
          <t>avverkningsanmälan</t>
        </is>
      </c>
      <c r="C643" t="inlineStr">
        <is>
          <t>Föryngringsavverkning</t>
        </is>
      </c>
      <c r="D643" s="1" t="n">
        <v>45081</v>
      </c>
      <c r="E643" s="1" t="n">
        <v>46217</v>
      </c>
      <c r="F643" t="inlineStr">
        <is>
          <t>KALMAR LÄN</t>
        </is>
      </c>
      <c r="G643" t="inlineStr">
        <is>
          <t>HULTSFRED</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6128-2023</t>
        </is>
      </c>
      <c r="B644" t="inlineStr">
        <is>
          <t>avverkningsanmälan</t>
        </is>
      </c>
      <c r="C644" t="inlineStr">
        <is>
          <t>Föryngringsavverkning</t>
        </is>
      </c>
      <c r="D644" s="1" t="n">
        <v>44964</v>
      </c>
      <c r="E644" s="1" t="n">
        <v>46217</v>
      </c>
      <c r="F644" t="inlineStr">
        <is>
          <t>KALMAR LÄN</t>
        </is>
      </c>
      <c r="G644" t="inlineStr">
        <is>
          <t>HULTSFRED</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7310-2023</t>
        </is>
      </c>
      <c r="B645" t="inlineStr">
        <is>
          <t>avverkningsanmälan</t>
        </is>
      </c>
      <c r="C645" t="inlineStr">
        <is>
          <t>Föryngringsavverkning</t>
        </is>
      </c>
      <c r="D645" s="1" t="n">
        <v>44970</v>
      </c>
      <c r="E645" s="1" t="n">
        <v>46217</v>
      </c>
      <c r="F645" t="inlineStr">
        <is>
          <t>KALMAR LÄN</t>
        </is>
      </c>
      <c r="G645" t="inlineStr">
        <is>
          <t>HULTSFRED</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52893-2024</t>
        </is>
      </c>
      <c r="B646" t="inlineStr">
        <is>
          <t>avverkningsanmälan</t>
        </is>
      </c>
      <c r="C646" t="inlineStr">
        <is>
          <t>Föryngringsavverkning</t>
        </is>
      </c>
      <c r="D646" s="1" t="n">
        <v>45610</v>
      </c>
      <c r="E646" s="1" t="n">
        <v>46217</v>
      </c>
      <c r="F646" t="inlineStr">
        <is>
          <t>KALMAR LÄN</t>
        </is>
      </c>
      <c r="G646" t="inlineStr">
        <is>
          <t>HULTSFRED</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28979-2024</t>
        </is>
      </c>
      <c r="B647" t="inlineStr">
        <is>
          <t>avverkningsanmälan</t>
        </is>
      </c>
      <c r="C647" t="inlineStr">
        <is>
          <t>Föryngringsavverkning</t>
        </is>
      </c>
      <c r="D647" s="1" t="n">
        <v>45481</v>
      </c>
      <c r="E647" s="1" t="n">
        <v>46217</v>
      </c>
      <c r="F647" t="inlineStr">
        <is>
          <t>KALMAR LÄN</t>
        </is>
      </c>
      <c r="G647" t="inlineStr">
        <is>
          <t>HULTSFRED</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42434-2023</t>
        </is>
      </c>
      <c r="B648" t="inlineStr">
        <is>
          <t>avverkningsanmälan</t>
        </is>
      </c>
      <c r="C648" t="inlineStr">
        <is>
          <t>Avverkning för annat ändamål</t>
        </is>
      </c>
      <c r="D648" s="1" t="n">
        <v>45180</v>
      </c>
      <c r="E648" s="1" t="n">
        <v>46217</v>
      </c>
      <c r="F648" t="inlineStr">
        <is>
          <t>KALMAR LÄN</t>
        </is>
      </c>
      <c r="G648" t="inlineStr">
        <is>
          <t>HULTSFRED</t>
        </is>
      </c>
      <c r="H648" t="inlineStr">
        <is>
          <t>Sveaskog</t>
        </is>
      </c>
      <c r="I648" t="n">
        <v>0.3</v>
      </c>
      <c r="J648" t="n">
        <v>0</v>
      </c>
      <c r="K648" t="n">
        <v>0</v>
      </c>
      <c r="L648" t="n">
        <v>0</v>
      </c>
      <c r="M648" t="n">
        <v>0</v>
      </c>
      <c r="N648" t="n">
        <v>0</v>
      </c>
      <c r="O648" t="n">
        <v>0</v>
      </c>
      <c r="P648" t="n">
        <v>0</v>
      </c>
      <c r="Q648" t="n">
        <v>0</v>
      </c>
      <c r="R648" t="n">
        <v>0</v>
      </c>
      <c r="S648" t="n">
        <v>0</v>
      </c>
      <c r="T648" t="n">
        <v>0</v>
      </c>
      <c r="U648" s="2" t="inlineStr"/>
    </row>
    <row r="649" ht="15" customHeight="1">
      <c r="A649" t="inlineStr">
        <is>
          <t>A 36271-2023</t>
        </is>
      </c>
      <c r="B649" t="inlineStr">
        <is>
          <t>avverkningsanmälan</t>
        </is>
      </c>
      <c r="C649" t="inlineStr">
        <is>
          <t>Föryngringsavverkning</t>
        </is>
      </c>
      <c r="D649" s="1" t="n">
        <v>45152</v>
      </c>
      <c r="E649" s="1" t="n">
        <v>46217</v>
      </c>
      <c r="F649" t="inlineStr">
        <is>
          <t>KALMAR LÄN</t>
        </is>
      </c>
      <c r="G649" t="inlineStr">
        <is>
          <t>HULTSFRED</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29046-2023</t>
        </is>
      </c>
      <c r="B650" t="inlineStr">
        <is>
          <t>avverkningsanmälan</t>
        </is>
      </c>
      <c r="C650" t="inlineStr">
        <is>
          <t>Föryngringsavverkning</t>
        </is>
      </c>
      <c r="D650" s="1" t="n">
        <v>45104</v>
      </c>
      <c r="E650" s="1" t="n">
        <v>46217</v>
      </c>
      <c r="F650" t="inlineStr">
        <is>
          <t>KALMAR LÄN</t>
        </is>
      </c>
      <c r="G650" t="inlineStr">
        <is>
          <t>HULTSFRED</t>
        </is>
      </c>
      <c r="I650" t="n">
        <v>9.199999999999999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22401-2023</t>
        </is>
      </c>
      <c r="B651" t="inlineStr">
        <is>
          <t>avverkningsanmälan</t>
        </is>
      </c>
      <c r="C651" t="inlineStr">
        <is>
          <t>Föryngringsavverkning</t>
        </is>
      </c>
      <c r="D651" s="1" t="n">
        <v>45070</v>
      </c>
      <c r="E651" s="1" t="n">
        <v>46217</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60678-2023</t>
        </is>
      </c>
      <c r="B652" t="inlineStr">
        <is>
          <t>avverkningsanmälan</t>
        </is>
      </c>
      <c r="C652" t="inlineStr">
        <is>
          <t>Avverkning för att bevara och utveckla /försöksver</t>
        </is>
      </c>
      <c r="D652" s="1" t="n">
        <v>45260</v>
      </c>
      <c r="E652" s="1" t="n">
        <v>46217</v>
      </c>
      <c r="F652" t="inlineStr">
        <is>
          <t>KALMAR LÄN</t>
        </is>
      </c>
      <c r="G652" t="inlineStr">
        <is>
          <t>HULTSFRED</t>
        </is>
      </c>
      <c r="H652" t="inlineStr">
        <is>
          <t>Sveaskog</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60681-2023</t>
        </is>
      </c>
      <c r="B653" t="inlineStr">
        <is>
          <t>avverkningsanmälan</t>
        </is>
      </c>
      <c r="C653" t="inlineStr">
        <is>
          <t>Föryngringsavverkning</t>
        </is>
      </c>
      <c r="D653" s="1" t="n">
        <v>45260</v>
      </c>
      <c r="E653" s="1" t="n">
        <v>46217</v>
      </c>
      <c r="F653" t="inlineStr">
        <is>
          <t>KALMAR LÄN</t>
        </is>
      </c>
      <c r="G653" t="inlineStr">
        <is>
          <t>HULTSFRED</t>
        </is>
      </c>
      <c r="H653" t="inlineStr">
        <is>
          <t>Sveaskog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7531-2024</t>
        </is>
      </c>
      <c r="B654" t="inlineStr">
        <is>
          <t>avverkningsanmälan</t>
        </is>
      </c>
      <c r="C654" t="inlineStr">
        <is>
          <t>Föryngringsavverkning</t>
        </is>
      </c>
      <c r="D654" s="1" t="n">
        <v>45348</v>
      </c>
      <c r="E654" s="1" t="n">
        <v>46217</v>
      </c>
      <c r="F654" t="inlineStr">
        <is>
          <t>KALMAR LÄN</t>
        </is>
      </c>
      <c r="G654" t="inlineStr">
        <is>
          <t>HULTSFRED</t>
        </is>
      </c>
      <c r="I654" t="n">
        <v>0.8</v>
      </c>
      <c r="J654" t="n">
        <v>0</v>
      </c>
      <c r="K654" t="n">
        <v>0</v>
      </c>
      <c r="L654" t="n">
        <v>0</v>
      </c>
      <c r="M654" t="n">
        <v>0</v>
      </c>
      <c r="N654" t="n">
        <v>0</v>
      </c>
      <c r="O654" t="n">
        <v>0</v>
      </c>
      <c r="P654" t="n">
        <v>0</v>
      </c>
      <c r="Q654" t="n">
        <v>0</v>
      </c>
      <c r="R654" t="n">
        <v>0</v>
      </c>
      <c r="S654" t="n">
        <v>0</v>
      </c>
      <c r="T654" t="n">
        <v>0</v>
      </c>
      <c r="U654" s="2" t="inlineStr"/>
    </row>
    <row r="655" ht="15" customHeight="1">
      <c r="A655" t="inlineStr">
        <is>
          <t>A 5989-2025</t>
        </is>
      </c>
      <c r="B655" t="inlineStr">
        <is>
          <t>avverkningsanmälan</t>
        </is>
      </c>
      <c r="C655" t="inlineStr">
        <is>
          <t>Föryngringsavverkning</t>
        </is>
      </c>
      <c r="D655" s="1" t="n">
        <v>45695</v>
      </c>
      <c r="E655" s="1" t="n">
        <v>46217</v>
      </c>
      <c r="F655" t="inlineStr">
        <is>
          <t>KALMAR LÄN</t>
        </is>
      </c>
      <c r="G655" t="inlineStr">
        <is>
          <t>HULTSFRED</t>
        </is>
      </c>
      <c r="H655" t="inlineStr">
        <is>
          <t>Sveaskog</t>
        </is>
      </c>
      <c r="I655" t="n">
        <v>5.9</v>
      </c>
      <c r="J655" t="n">
        <v>0</v>
      </c>
      <c r="K655" t="n">
        <v>0</v>
      </c>
      <c r="L655" t="n">
        <v>0</v>
      </c>
      <c r="M655" t="n">
        <v>0</v>
      </c>
      <c r="N655" t="n">
        <v>0</v>
      </c>
      <c r="O655" t="n">
        <v>0</v>
      </c>
      <c r="P655" t="n">
        <v>0</v>
      </c>
      <c r="Q655" t="n">
        <v>0</v>
      </c>
      <c r="R655" t="n">
        <v>0</v>
      </c>
      <c r="S655" t="n">
        <v>0</v>
      </c>
      <c r="T655" t="n">
        <v>0</v>
      </c>
      <c r="U655" s="2" t="inlineStr"/>
    </row>
    <row r="656" ht="15" customHeight="1">
      <c r="A656" t="inlineStr">
        <is>
          <t>A 5996-2025</t>
        </is>
      </c>
      <c r="B656" t="inlineStr">
        <is>
          <t>avverkningsanmälan</t>
        </is>
      </c>
      <c r="C656" t="inlineStr">
        <is>
          <t>Föryngringsavverkning</t>
        </is>
      </c>
      <c r="D656" s="1" t="n">
        <v>45695</v>
      </c>
      <c r="E656" s="1" t="n">
        <v>46217</v>
      </c>
      <c r="F656" t="inlineStr">
        <is>
          <t>KALMAR LÄN</t>
        </is>
      </c>
      <c r="G656" t="inlineStr">
        <is>
          <t>HULTSFRED</t>
        </is>
      </c>
      <c r="H656" t="inlineStr">
        <is>
          <t>Sveaskog</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59548-2024</t>
        </is>
      </c>
      <c r="B657" t="inlineStr">
        <is>
          <t>avverkningsanmälan</t>
        </is>
      </c>
      <c r="C657" t="inlineStr">
        <is>
          <t>Föryngringsavverkning</t>
        </is>
      </c>
      <c r="D657" s="1" t="n">
        <v>45637</v>
      </c>
      <c r="E657" s="1" t="n">
        <v>46217</v>
      </c>
      <c r="F657" t="inlineStr">
        <is>
          <t>KALMAR LÄN</t>
        </is>
      </c>
      <c r="G657" t="inlineStr">
        <is>
          <t>HULTSFRED</t>
        </is>
      </c>
      <c r="I657" t="n">
        <v>3.3</v>
      </c>
      <c r="J657" t="n">
        <v>0</v>
      </c>
      <c r="K657" t="n">
        <v>0</v>
      </c>
      <c r="L657" t="n">
        <v>0</v>
      </c>
      <c r="M657" t="n">
        <v>0</v>
      </c>
      <c r="N657" t="n">
        <v>0</v>
      </c>
      <c r="O657" t="n">
        <v>0</v>
      </c>
      <c r="P657" t="n">
        <v>0</v>
      </c>
      <c r="Q657" t="n">
        <v>0</v>
      </c>
      <c r="R657" t="n">
        <v>0</v>
      </c>
      <c r="S657" t="n">
        <v>0</v>
      </c>
      <c r="T657" t="n">
        <v>0</v>
      </c>
      <c r="U657" s="2" t="inlineStr"/>
    </row>
    <row r="658" ht="15" customHeight="1">
      <c r="A658" t="inlineStr">
        <is>
          <t>A 33886-2023</t>
        </is>
      </c>
      <c r="B658" t="inlineStr">
        <is>
          <t>avverkningsanmälan</t>
        </is>
      </c>
      <c r="C658" t="inlineStr">
        <is>
          <t>Föryngringsavverkning</t>
        </is>
      </c>
      <c r="D658" s="1" t="n">
        <v>45134</v>
      </c>
      <c r="E658" s="1" t="n">
        <v>46217</v>
      </c>
      <c r="F658" t="inlineStr">
        <is>
          <t>KALMAR LÄN</t>
        </is>
      </c>
      <c r="G658" t="inlineStr">
        <is>
          <t>HULTSFRED</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41695-2022</t>
        </is>
      </c>
      <c r="B659" t="inlineStr">
        <is>
          <t>avverkningsanmälan</t>
        </is>
      </c>
      <c r="C659" t="inlineStr">
        <is>
          <t>Föryngringsavverkning</t>
        </is>
      </c>
      <c r="D659" s="1" t="n">
        <v>44827</v>
      </c>
      <c r="E659" s="1" t="n">
        <v>46217</v>
      </c>
      <c r="F659" t="inlineStr">
        <is>
          <t>KALMAR LÄN</t>
        </is>
      </c>
      <c r="G659" t="inlineStr">
        <is>
          <t>HULTSFRED</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10992-2024</t>
        </is>
      </c>
      <c r="B660" t="inlineStr">
        <is>
          <t>avverkningsanmälan</t>
        </is>
      </c>
      <c r="C660" t="inlineStr">
        <is>
          <t>Föryngringsavverkning</t>
        </is>
      </c>
      <c r="D660" s="1" t="n">
        <v>45370</v>
      </c>
      <c r="E660" s="1" t="n">
        <v>46217</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36698-2023</t>
        </is>
      </c>
      <c r="B661" t="inlineStr">
        <is>
          <t>avverkningsanmälan</t>
        </is>
      </c>
      <c r="C661" t="inlineStr">
        <is>
          <t>Föryngringsavverkning</t>
        </is>
      </c>
      <c r="D661" s="1" t="n">
        <v>45153</v>
      </c>
      <c r="E661" s="1" t="n">
        <v>46217</v>
      </c>
      <c r="F661" t="inlineStr">
        <is>
          <t>KALMAR LÄN</t>
        </is>
      </c>
      <c r="G661" t="inlineStr">
        <is>
          <t>HULTSFRED</t>
        </is>
      </c>
      <c r="I661" t="n">
        <v>7.4</v>
      </c>
      <c r="J661" t="n">
        <v>0</v>
      </c>
      <c r="K661" t="n">
        <v>0</v>
      </c>
      <c r="L661" t="n">
        <v>0</v>
      </c>
      <c r="M661" t="n">
        <v>0</v>
      </c>
      <c r="N661" t="n">
        <v>0</v>
      </c>
      <c r="O661" t="n">
        <v>0</v>
      </c>
      <c r="P661" t="n">
        <v>0</v>
      </c>
      <c r="Q661" t="n">
        <v>0</v>
      </c>
      <c r="R661" t="n">
        <v>0</v>
      </c>
      <c r="S661" t="n">
        <v>0</v>
      </c>
      <c r="T661" t="n">
        <v>0</v>
      </c>
      <c r="U661" s="2" t="inlineStr"/>
    </row>
    <row r="662" ht="15" customHeight="1">
      <c r="A662" t="inlineStr">
        <is>
          <t>A 29569-2024</t>
        </is>
      </c>
      <c r="B662" t="inlineStr">
        <is>
          <t>avverkningsanmälan</t>
        </is>
      </c>
      <c r="C662" t="inlineStr">
        <is>
          <t>Föryngringsavverkning</t>
        </is>
      </c>
      <c r="D662" s="1" t="n">
        <v>45484</v>
      </c>
      <c r="E662" s="1" t="n">
        <v>46217</v>
      </c>
      <c r="F662" t="inlineStr">
        <is>
          <t>KALMAR LÄN</t>
        </is>
      </c>
      <c r="G662" t="inlineStr">
        <is>
          <t>HULTSFRED</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4974-2023</t>
        </is>
      </c>
      <c r="B663" t="inlineStr">
        <is>
          <t>avverkningsanmälan</t>
        </is>
      </c>
      <c r="C663" t="inlineStr">
        <is>
          <t>Föryngringsavverkning</t>
        </is>
      </c>
      <c r="D663" s="1" t="n">
        <v>44958</v>
      </c>
      <c r="E663" s="1" t="n">
        <v>46217</v>
      </c>
      <c r="F663" t="inlineStr">
        <is>
          <t>KALMAR LÄN</t>
        </is>
      </c>
      <c r="G663" t="inlineStr">
        <is>
          <t>HULTSFRED</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29973-2024</t>
        </is>
      </c>
      <c r="B664" t="inlineStr">
        <is>
          <t>avverkningsanmälan</t>
        </is>
      </c>
      <c r="C664" t="inlineStr">
        <is>
          <t>Föryngringsavverkning</t>
        </is>
      </c>
      <c r="D664" s="1" t="n">
        <v>45488</v>
      </c>
      <c r="E664" s="1" t="n">
        <v>46217</v>
      </c>
      <c r="F664" t="inlineStr">
        <is>
          <t>KALMAR LÄN</t>
        </is>
      </c>
      <c r="G664" t="inlineStr">
        <is>
          <t>HULTSFRED</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11232-2023</t>
        </is>
      </c>
      <c r="B665" t="inlineStr">
        <is>
          <t>avverkningsanmälan</t>
        </is>
      </c>
      <c r="C665" t="inlineStr">
        <is>
          <t>Föryngringsavverkning</t>
        </is>
      </c>
      <c r="D665" s="1" t="n">
        <v>44992</v>
      </c>
      <c r="E665" s="1" t="n">
        <v>46217</v>
      </c>
      <c r="F665" t="inlineStr">
        <is>
          <t>KALMAR LÄN</t>
        </is>
      </c>
      <c r="G665" t="inlineStr">
        <is>
          <t>HULTSFRED</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57004-2024</t>
        </is>
      </c>
      <c r="B666" t="inlineStr">
        <is>
          <t>avverkningsanmälan</t>
        </is>
      </c>
      <c r="C666" t="inlineStr">
        <is>
          <t>Föryngringsavverkning</t>
        </is>
      </c>
      <c r="D666" s="1" t="n">
        <v>45628</v>
      </c>
      <c r="E666" s="1" t="n">
        <v>46217</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9891-2024</t>
        </is>
      </c>
      <c r="B667" t="inlineStr">
        <is>
          <t>avverkningsanmälan</t>
        </is>
      </c>
      <c r="C667" t="inlineStr">
        <is>
          <t>Föryngringsavverkning</t>
        </is>
      </c>
      <c r="D667" s="1" t="n">
        <v>45363</v>
      </c>
      <c r="E667" s="1" t="n">
        <v>46217</v>
      </c>
      <c r="F667" t="inlineStr">
        <is>
          <t>KALMAR LÄN</t>
        </is>
      </c>
      <c r="G667" t="inlineStr">
        <is>
          <t>HULTSFRED</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24258-2022</t>
        </is>
      </c>
      <c r="B668" t="inlineStr">
        <is>
          <t>avverkningsanmälan</t>
        </is>
      </c>
      <c r="C668" t="inlineStr">
        <is>
          <t>Föryngringsavverkning</t>
        </is>
      </c>
      <c r="D668" s="1" t="n">
        <v>44725</v>
      </c>
      <c r="E668" s="1" t="n">
        <v>46217</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37280-2023</t>
        </is>
      </c>
      <c r="B669" t="inlineStr">
        <is>
          <t>avverkningsanmälan</t>
        </is>
      </c>
      <c r="C669" t="inlineStr">
        <is>
          <t>Föryngringsavverkning</t>
        </is>
      </c>
      <c r="D669" s="1" t="n">
        <v>45156</v>
      </c>
      <c r="E669" s="1" t="n">
        <v>46217</v>
      </c>
      <c r="F669" t="inlineStr">
        <is>
          <t>KALMAR LÄN</t>
        </is>
      </c>
      <c r="G669" t="inlineStr">
        <is>
          <t>HULTSFRED</t>
        </is>
      </c>
      <c r="I669" t="n">
        <v>10.8</v>
      </c>
      <c r="J669" t="n">
        <v>0</v>
      </c>
      <c r="K669" t="n">
        <v>0</v>
      </c>
      <c r="L669" t="n">
        <v>0</v>
      </c>
      <c r="M669" t="n">
        <v>0</v>
      </c>
      <c r="N669" t="n">
        <v>0</v>
      </c>
      <c r="O669" t="n">
        <v>0</v>
      </c>
      <c r="P669" t="n">
        <v>0</v>
      </c>
      <c r="Q669" t="n">
        <v>0</v>
      </c>
      <c r="R669" t="n">
        <v>0</v>
      </c>
      <c r="S669" t="n">
        <v>0</v>
      </c>
      <c r="T669" t="n">
        <v>0</v>
      </c>
      <c r="U669" s="2" t="inlineStr"/>
    </row>
    <row r="670" ht="15" customHeight="1">
      <c r="A670" t="inlineStr">
        <is>
          <t>A 58862-2023</t>
        </is>
      </c>
      <c r="B670" t="inlineStr">
        <is>
          <t>avverkningsanmälan</t>
        </is>
      </c>
      <c r="C670" t="inlineStr">
        <is>
          <t>Föryngringsavverkning</t>
        </is>
      </c>
      <c r="D670" s="1" t="n">
        <v>45247</v>
      </c>
      <c r="E670" s="1" t="n">
        <v>46217</v>
      </c>
      <c r="F670" t="inlineStr">
        <is>
          <t>KALMAR LÄN</t>
        </is>
      </c>
      <c r="G670" t="inlineStr">
        <is>
          <t>HULTSFRED</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19403-2023</t>
        </is>
      </c>
      <c r="B671" t="inlineStr">
        <is>
          <t>avverkningsanmälan</t>
        </is>
      </c>
      <c r="C671" t="inlineStr">
        <is>
          <t>Föryngringsavverkning</t>
        </is>
      </c>
      <c r="D671" s="1" t="n">
        <v>45049</v>
      </c>
      <c r="E671" s="1" t="n">
        <v>46217</v>
      </c>
      <c r="F671" t="inlineStr">
        <is>
          <t>KALMAR LÄN</t>
        </is>
      </c>
      <c r="G671" t="inlineStr">
        <is>
          <t>HULTSFRED</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34565-2022</t>
        </is>
      </c>
      <c r="B672" t="inlineStr">
        <is>
          <t>avverkningsanmälan</t>
        </is>
      </c>
      <c r="C672" t="inlineStr">
        <is>
          <t>Föryngringsavverkning</t>
        </is>
      </c>
      <c r="D672" s="1" t="n">
        <v>44794</v>
      </c>
      <c r="E672" s="1" t="n">
        <v>46217</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39948-2023</t>
        </is>
      </c>
      <c r="B673" t="inlineStr">
        <is>
          <t>avverkningsanmälan</t>
        </is>
      </c>
      <c r="C673" t="inlineStr">
        <is>
          <t>Föryngringsavverkning</t>
        </is>
      </c>
      <c r="D673" s="1" t="n">
        <v>45168</v>
      </c>
      <c r="E673" s="1" t="n">
        <v>46217</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7078-2023</t>
        </is>
      </c>
      <c r="B674" t="inlineStr">
        <is>
          <t>avverkningsanmälan</t>
        </is>
      </c>
      <c r="C674" t="inlineStr">
        <is>
          <t>Föryngringsavverkning</t>
        </is>
      </c>
      <c r="D674" s="1" t="n">
        <v>44970</v>
      </c>
      <c r="E674" s="1" t="n">
        <v>46217</v>
      </c>
      <c r="F674" t="inlineStr">
        <is>
          <t>KALMAR LÄN</t>
        </is>
      </c>
      <c r="G674" t="inlineStr">
        <is>
          <t>HULTSFRED</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5801-2024</t>
        </is>
      </c>
      <c r="B675" t="inlineStr">
        <is>
          <t>avverkningsanmälan</t>
        </is>
      </c>
      <c r="C675" t="inlineStr">
        <is>
          <t>Föryngringsavverkning</t>
        </is>
      </c>
      <c r="D675" s="1" t="n">
        <v>45335</v>
      </c>
      <c r="E675" s="1" t="n">
        <v>46217</v>
      </c>
      <c r="F675" t="inlineStr">
        <is>
          <t>KALMAR LÄN</t>
        </is>
      </c>
      <c r="G675" t="inlineStr">
        <is>
          <t>HULTSFRED</t>
        </is>
      </c>
      <c r="I675" t="n">
        <v>0</v>
      </c>
      <c r="J675" t="n">
        <v>0</v>
      </c>
      <c r="K675" t="n">
        <v>0</v>
      </c>
      <c r="L675" t="n">
        <v>0</v>
      </c>
      <c r="M675" t="n">
        <v>0</v>
      </c>
      <c r="N675" t="n">
        <v>0</v>
      </c>
      <c r="O675" t="n">
        <v>0</v>
      </c>
      <c r="P675" t="n">
        <v>0</v>
      </c>
      <c r="Q675" t="n">
        <v>0</v>
      </c>
      <c r="R675" t="n">
        <v>0</v>
      </c>
      <c r="S675" t="n">
        <v>0</v>
      </c>
      <c r="T675" t="n">
        <v>0</v>
      </c>
      <c r="U675" s="2" t="inlineStr"/>
    </row>
    <row r="676" ht="15" customHeight="1">
      <c r="A676" t="inlineStr">
        <is>
          <t>A 8332-2024</t>
        </is>
      </c>
      <c r="B676" t="inlineStr">
        <is>
          <t>avverkningsanmälan</t>
        </is>
      </c>
      <c r="C676" t="inlineStr">
        <is>
          <t>Föryngringsavverkning</t>
        </is>
      </c>
      <c r="D676" s="1" t="n">
        <v>45352</v>
      </c>
      <c r="E676" s="1" t="n">
        <v>46217</v>
      </c>
      <c r="F676" t="inlineStr">
        <is>
          <t>KALMAR LÄN</t>
        </is>
      </c>
      <c r="G676" t="inlineStr">
        <is>
          <t>HULTSFRED</t>
        </is>
      </c>
      <c r="I676" t="n">
        <v>8.800000000000001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36092-2023</t>
        </is>
      </c>
      <c r="B677" t="inlineStr">
        <is>
          <t>avverkningsanmälan</t>
        </is>
      </c>
      <c r="C677" t="inlineStr">
        <is>
          <t>Föryngringsavverkning</t>
        </is>
      </c>
      <c r="D677" s="1" t="n">
        <v>45149</v>
      </c>
      <c r="E677" s="1" t="n">
        <v>46217</v>
      </c>
      <c r="F677" t="inlineStr">
        <is>
          <t>KALMAR LÄN</t>
        </is>
      </c>
      <c r="G677" t="inlineStr">
        <is>
          <t>HULTSFRED</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13946-2023</t>
        </is>
      </c>
      <c r="B678" t="inlineStr">
        <is>
          <t>avverkningsanmälan</t>
        </is>
      </c>
      <c r="C678" t="inlineStr">
        <is>
          <t>Föryngringsavverkning</t>
        </is>
      </c>
      <c r="D678" s="1" t="n">
        <v>45008</v>
      </c>
      <c r="E678" s="1" t="n">
        <v>46217</v>
      </c>
      <c r="F678" t="inlineStr">
        <is>
          <t>KALMAR LÄN</t>
        </is>
      </c>
      <c r="G678" t="inlineStr">
        <is>
          <t>HULTSFRED</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48927-2023</t>
        </is>
      </c>
      <c r="B679" t="inlineStr">
        <is>
          <t>avverkningsanmälan</t>
        </is>
      </c>
      <c r="C679" t="inlineStr">
        <is>
          <t>Föryngringsavverkning</t>
        </is>
      </c>
      <c r="D679" s="1" t="n">
        <v>45209</v>
      </c>
      <c r="E679" s="1" t="n">
        <v>46217</v>
      </c>
      <c r="F679" t="inlineStr">
        <is>
          <t>KALMAR LÄN</t>
        </is>
      </c>
      <c r="G679" t="inlineStr">
        <is>
          <t>HULTSFRED</t>
        </is>
      </c>
      <c r="H679" t="inlineStr">
        <is>
          <t>Övriga Aktiebolag</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11883-2024</t>
        </is>
      </c>
      <c r="B680" t="inlineStr">
        <is>
          <t>avverkningsanmälan</t>
        </is>
      </c>
      <c r="C680" t="inlineStr">
        <is>
          <t>Föryngringsavverkning</t>
        </is>
      </c>
      <c r="D680" s="1" t="n">
        <v>45376</v>
      </c>
      <c r="E680" s="1" t="n">
        <v>46217</v>
      </c>
      <c r="F680" t="inlineStr">
        <is>
          <t>KALMAR LÄN</t>
        </is>
      </c>
      <c r="G680" t="inlineStr">
        <is>
          <t>HULTSFRED</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5578-2023</t>
        </is>
      </c>
      <c r="B681" t="inlineStr">
        <is>
          <t>avverkningsanmälan</t>
        </is>
      </c>
      <c r="C681" t="inlineStr">
        <is>
          <t>Föryngringsavverkning</t>
        </is>
      </c>
      <c r="D681" s="1" t="n">
        <v>44960</v>
      </c>
      <c r="E681" s="1" t="n">
        <v>46217</v>
      </c>
      <c r="F681" t="inlineStr">
        <is>
          <t>KALMAR LÄN</t>
        </is>
      </c>
      <c r="G681" t="inlineStr">
        <is>
          <t>HULTSFRED</t>
        </is>
      </c>
      <c r="H681" t="inlineStr">
        <is>
          <t>Sveaskog</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11325-2025</t>
        </is>
      </c>
      <c r="B682" t="inlineStr">
        <is>
          <t>avverkningsanmälan</t>
        </is>
      </c>
      <c r="C682" t="inlineStr">
        <is>
          <t>Föryngringsavverkning</t>
        </is>
      </c>
      <c r="D682" s="1" t="n">
        <v>45726</v>
      </c>
      <c r="E682" s="1" t="n">
        <v>46217</v>
      </c>
      <c r="F682" t="inlineStr">
        <is>
          <t>KALMAR LÄN</t>
        </is>
      </c>
      <c r="G682" t="inlineStr">
        <is>
          <t>HULTSFRED</t>
        </is>
      </c>
      <c r="H682" t="inlineStr">
        <is>
          <t>Sveaskog</t>
        </is>
      </c>
      <c r="I682" t="n">
        <v>0.5</v>
      </c>
      <c r="J682" t="n">
        <v>0</v>
      </c>
      <c r="K682" t="n">
        <v>0</v>
      </c>
      <c r="L682" t="n">
        <v>0</v>
      </c>
      <c r="M682" t="n">
        <v>0</v>
      </c>
      <c r="N682" t="n">
        <v>0</v>
      </c>
      <c r="O682" t="n">
        <v>0</v>
      </c>
      <c r="P682" t="n">
        <v>0</v>
      </c>
      <c r="Q682" t="n">
        <v>0</v>
      </c>
      <c r="R682" t="n">
        <v>0</v>
      </c>
      <c r="S682" t="n">
        <v>0</v>
      </c>
      <c r="T682" t="n">
        <v>0</v>
      </c>
      <c r="U682" s="2" t="inlineStr"/>
    </row>
    <row r="683" ht="15" customHeight="1">
      <c r="A683" t="inlineStr">
        <is>
          <t>A 11383-2025</t>
        </is>
      </c>
      <c r="B683" t="inlineStr">
        <is>
          <t>avverkningsanmälan</t>
        </is>
      </c>
      <c r="C683" t="inlineStr">
        <is>
          <t>Avverkning för annat ändamål</t>
        </is>
      </c>
      <c r="D683" s="1" t="n">
        <v>45726</v>
      </c>
      <c r="E683" s="1" t="n">
        <v>46217</v>
      </c>
      <c r="F683" t="inlineStr">
        <is>
          <t>KALMAR LÄN</t>
        </is>
      </c>
      <c r="G683" t="inlineStr">
        <is>
          <t>HULTSFRED</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64306-2023</t>
        </is>
      </c>
      <c r="B684" t="inlineStr">
        <is>
          <t>avverkningsanmälan</t>
        </is>
      </c>
      <c r="C684" t="inlineStr">
        <is>
          <t>Föryngringsavverkning</t>
        </is>
      </c>
      <c r="D684" s="1" t="n">
        <v>45280</v>
      </c>
      <c r="E684" s="1" t="n">
        <v>46217</v>
      </c>
      <c r="F684" t="inlineStr">
        <is>
          <t>KALMAR LÄN</t>
        </is>
      </c>
      <c r="G684" t="inlineStr">
        <is>
          <t>HULTSFRED</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58208-2023</t>
        </is>
      </c>
      <c r="B685" t="inlineStr">
        <is>
          <t>avverkningsanmälan</t>
        </is>
      </c>
      <c r="C685" t="inlineStr">
        <is>
          <t>Föryngringsavverkning</t>
        </is>
      </c>
      <c r="D685" s="1" t="n">
        <v>45250</v>
      </c>
      <c r="E685" s="1" t="n">
        <v>46217</v>
      </c>
      <c r="F685" t="inlineStr">
        <is>
          <t>KALMAR LÄN</t>
        </is>
      </c>
      <c r="G685" t="inlineStr">
        <is>
          <t>HULTSFRED</t>
        </is>
      </c>
      <c r="I685" t="n">
        <v>3.1</v>
      </c>
      <c r="J685" t="n">
        <v>0</v>
      </c>
      <c r="K685" t="n">
        <v>0</v>
      </c>
      <c r="L685" t="n">
        <v>0</v>
      </c>
      <c r="M685" t="n">
        <v>0</v>
      </c>
      <c r="N685" t="n">
        <v>0</v>
      </c>
      <c r="O685" t="n">
        <v>0</v>
      </c>
      <c r="P685" t="n">
        <v>0</v>
      </c>
      <c r="Q685" t="n">
        <v>0</v>
      </c>
      <c r="R685" t="n">
        <v>0</v>
      </c>
      <c r="S685" t="n">
        <v>0</v>
      </c>
      <c r="T685" t="n">
        <v>0</v>
      </c>
      <c r="U685" s="2" t="inlineStr"/>
    </row>
    <row r="686" ht="15" customHeight="1">
      <c r="A686" t="inlineStr">
        <is>
          <t>A 5755-2023</t>
        </is>
      </c>
      <c r="B686" t="inlineStr">
        <is>
          <t>avverkningsanmälan</t>
        </is>
      </c>
      <c r="C686" t="inlineStr">
        <is>
          <t>Föryngringsavverkning</t>
        </is>
      </c>
      <c r="D686" s="1" t="n">
        <v>44963</v>
      </c>
      <c r="E686" s="1" t="n">
        <v>46217</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16541-2024</t>
        </is>
      </c>
      <c r="B687" t="inlineStr">
        <is>
          <t>avverkningsanmälan</t>
        </is>
      </c>
      <c r="C687" t="inlineStr">
        <is>
          <t>Föryngringsavverkning</t>
        </is>
      </c>
      <c r="D687" s="1" t="n">
        <v>45408</v>
      </c>
      <c r="E687" s="1" t="n">
        <v>46217</v>
      </c>
      <c r="F687" t="inlineStr">
        <is>
          <t>KALMAR LÄN</t>
        </is>
      </c>
      <c r="G687" t="inlineStr">
        <is>
          <t>HULTSFRED</t>
        </is>
      </c>
      <c r="I687" t="n">
        <v>3.4</v>
      </c>
      <c r="J687" t="n">
        <v>0</v>
      </c>
      <c r="K687" t="n">
        <v>0</v>
      </c>
      <c r="L687" t="n">
        <v>0</v>
      </c>
      <c r="M687" t="n">
        <v>0</v>
      </c>
      <c r="N687" t="n">
        <v>0</v>
      </c>
      <c r="O687" t="n">
        <v>0</v>
      </c>
      <c r="P687" t="n">
        <v>0</v>
      </c>
      <c r="Q687" t="n">
        <v>0</v>
      </c>
      <c r="R687" t="n">
        <v>0</v>
      </c>
      <c r="S687" t="n">
        <v>0</v>
      </c>
      <c r="T687" t="n">
        <v>0</v>
      </c>
      <c r="U687" s="2" t="inlineStr"/>
    </row>
    <row r="688" ht="15" customHeight="1">
      <c r="A688" t="inlineStr">
        <is>
          <t>A 10904-2024</t>
        </is>
      </c>
      <c r="B688" t="inlineStr">
        <is>
          <t>avverkningsanmälan</t>
        </is>
      </c>
      <c r="C688" t="inlineStr">
        <is>
          <t>Föryngringsavverkning</t>
        </is>
      </c>
      <c r="D688" s="1" t="n">
        <v>45370</v>
      </c>
      <c r="E688" s="1" t="n">
        <v>46217</v>
      </c>
      <c r="F688" t="inlineStr">
        <is>
          <t>KALMAR LÄN</t>
        </is>
      </c>
      <c r="G688" t="inlineStr">
        <is>
          <t>HULTSFRED</t>
        </is>
      </c>
      <c r="I688" t="n">
        <v>7.8</v>
      </c>
      <c r="J688" t="n">
        <v>0</v>
      </c>
      <c r="K688" t="n">
        <v>0</v>
      </c>
      <c r="L688" t="n">
        <v>0</v>
      </c>
      <c r="M688" t="n">
        <v>0</v>
      </c>
      <c r="N688" t="n">
        <v>0</v>
      </c>
      <c r="O688" t="n">
        <v>0</v>
      </c>
      <c r="P688" t="n">
        <v>0</v>
      </c>
      <c r="Q688" t="n">
        <v>0</v>
      </c>
      <c r="R688" t="n">
        <v>0</v>
      </c>
      <c r="S688" t="n">
        <v>0</v>
      </c>
      <c r="T688" t="n">
        <v>0</v>
      </c>
      <c r="U688" s="2" t="inlineStr"/>
    </row>
    <row r="689" ht="15" customHeight="1">
      <c r="A689" t="inlineStr">
        <is>
          <t>A 12339-2025</t>
        </is>
      </c>
      <c r="B689" t="inlineStr">
        <is>
          <t>avverkningsanmälan</t>
        </is>
      </c>
      <c r="C689" t="inlineStr">
        <is>
          <t>Föryngringsavverkning</t>
        </is>
      </c>
      <c r="D689" s="1" t="n">
        <v>45730</v>
      </c>
      <c r="E689" s="1" t="n">
        <v>46217</v>
      </c>
      <c r="F689" t="inlineStr">
        <is>
          <t>KALMAR LÄN</t>
        </is>
      </c>
      <c r="G689" t="inlineStr">
        <is>
          <t>HULTSFRED</t>
        </is>
      </c>
      <c r="H689" t="inlineStr">
        <is>
          <t>Sveaskog</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46029-2024</t>
        </is>
      </c>
      <c r="B690" t="inlineStr">
        <is>
          <t>avverkningsanmälan</t>
        </is>
      </c>
      <c r="C690" t="inlineStr">
        <is>
          <t>Föryngringsavverkning</t>
        </is>
      </c>
      <c r="D690" s="1" t="n">
        <v>45580</v>
      </c>
      <c r="E690" s="1" t="n">
        <v>46217</v>
      </c>
      <c r="F690" t="inlineStr">
        <is>
          <t>KALMAR LÄN</t>
        </is>
      </c>
      <c r="G690" t="inlineStr">
        <is>
          <t>HULTSFRED</t>
        </is>
      </c>
      <c r="I690" t="n">
        <v>5.3</v>
      </c>
      <c r="J690" t="n">
        <v>0</v>
      </c>
      <c r="K690" t="n">
        <v>0</v>
      </c>
      <c r="L690" t="n">
        <v>0</v>
      </c>
      <c r="M690" t="n">
        <v>0</v>
      </c>
      <c r="N690" t="n">
        <v>0</v>
      </c>
      <c r="O690" t="n">
        <v>0</v>
      </c>
      <c r="P690" t="n">
        <v>0</v>
      </c>
      <c r="Q690" t="n">
        <v>0</v>
      </c>
      <c r="R690" t="n">
        <v>0</v>
      </c>
      <c r="S690" t="n">
        <v>0</v>
      </c>
      <c r="T690" t="n">
        <v>0</v>
      </c>
      <c r="U690" s="2" t="inlineStr"/>
    </row>
    <row r="691" ht="15" customHeight="1">
      <c r="A691" t="inlineStr">
        <is>
          <t>A 22622-2024</t>
        </is>
      </c>
      <c r="B691" t="inlineStr">
        <is>
          <t>avverkningsanmälan</t>
        </is>
      </c>
      <c r="C691" t="inlineStr">
        <is>
          <t>Föryngringsavverkning</t>
        </is>
      </c>
      <c r="D691" s="1" t="n">
        <v>45447</v>
      </c>
      <c r="E691" s="1" t="n">
        <v>46217</v>
      </c>
      <c r="F691" t="inlineStr">
        <is>
          <t>KALMAR LÄN</t>
        </is>
      </c>
      <c r="G691" t="inlineStr">
        <is>
          <t>HULTSFRED</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28254-2024</t>
        </is>
      </c>
      <c r="B692" t="inlineStr">
        <is>
          <t>avverkningsanmälan</t>
        </is>
      </c>
      <c r="C692" t="inlineStr">
        <is>
          <t>Föryngringsavverkning</t>
        </is>
      </c>
      <c r="D692" s="1" t="n">
        <v>45477</v>
      </c>
      <c r="E692" s="1" t="n">
        <v>46217</v>
      </c>
      <c r="F692" t="inlineStr">
        <is>
          <t>KALMAR LÄN</t>
        </is>
      </c>
      <c r="G692" t="inlineStr">
        <is>
          <t>HULTSFRED</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12331-2025</t>
        </is>
      </c>
      <c r="B693" t="inlineStr">
        <is>
          <t>avverkningsanmälan</t>
        </is>
      </c>
      <c r="C693" t="inlineStr">
        <is>
          <t>Föryngringsavverkning</t>
        </is>
      </c>
      <c r="D693" s="1" t="n">
        <v>45730</v>
      </c>
      <c r="E693" s="1" t="n">
        <v>46217</v>
      </c>
      <c r="F693" t="inlineStr">
        <is>
          <t>KALMAR LÄN</t>
        </is>
      </c>
      <c r="G693" t="inlineStr">
        <is>
          <t>HULTSFRED</t>
        </is>
      </c>
      <c r="H693" t="inlineStr">
        <is>
          <t>Sveaskog</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15437-2023</t>
        </is>
      </c>
      <c r="B694" t="inlineStr">
        <is>
          <t>avverkningsanmälan</t>
        </is>
      </c>
      <c r="C694" t="inlineStr">
        <is>
          <t>Föryngringsavverkning</t>
        </is>
      </c>
      <c r="D694" s="1" t="n">
        <v>45016</v>
      </c>
      <c r="E694" s="1" t="n">
        <v>46217</v>
      </c>
      <c r="F694" t="inlineStr">
        <is>
          <t>KALMAR LÄN</t>
        </is>
      </c>
      <c r="G694" t="inlineStr">
        <is>
          <t>HULTSFRED</t>
        </is>
      </c>
      <c r="I694" t="n">
        <v>1.2</v>
      </c>
      <c r="J694" t="n">
        <v>0</v>
      </c>
      <c r="K694" t="n">
        <v>0</v>
      </c>
      <c r="L694" t="n">
        <v>0</v>
      </c>
      <c r="M694" t="n">
        <v>0</v>
      </c>
      <c r="N694" t="n">
        <v>0</v>
      </c>
      <c r="O694" t="n">
        <v>0</v>
      </c>
      <c r="P694" t="n">
        <v>0</v>
      </c>
      <c r="Q694" t="n">
        <v>0</v>
      </c>
      <c r="R694" t="n">
        <v>0</v>
      </c>
      <c r="S694" t="n">
        <v>0</v>
      </c>
      <c r="T694" t="n">
        <v>0</v>
      </c>
      <c r="U694" s="2" t="inlineStr"/>
    </row>
    <row r="695" ht="15" customHeight="1">
      <c r="A695" t="inlineStr">
        <is>
          <t>A 33440-2023</t>
        </is>
      </c>
      <c r="B695" t="inlineStr">
        <is>
          <t>avverkningsanmälan</t>
        </is>
      </c>
      <c r="C695" t="inlineStr">
        <is>
          <t>Föryngringsavverkning</t>
        </is>
      </c>
      <c r="D695" s="1" t="n">
        <v>45129</v>
      </c>
      <c r="E695" s="1" t="n">
        <v>46217</v>
      </c>
      <c r="F695" t="inlineStr">
        <is>
          <t>KALMAR LÄN</t>
        </is>
      </c>
      <c r="G695" t="inlineStr">
        <is>
          <t>HULTSFRED</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63867-2023</t>
        </is>
      </c>
      <c r="B696" t="inlineStr">
        <is>
          <t>avverkningsanmälan</t>
        </is>
      </c>
      <c r="C696" t="inlineStr">
        <is>
          <t>Föryngringsavverkning</t>
        </is>
      </c>
      <c r="D696" s="1" t="n">
        <v>45278</v>
      </c>
      <c r="E696" s="1" t="n">
        <v>46217</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44715-2023</t>
        </is>
      </c>
      <c r="B697" t="inlineStr">
        <is>
          <t>avverkningsanmälan</t>
        </is>
      </c>
      <c r="C697" t="inlineStr">
        <is>
          <t>Föryngringsavverkning</t>
        </is>
      </c>
      <c r="D697" s="1" t="n">
        <v>45190</v>
      </c>
      <c r="E697" s="1" t="n">
        <v>46217</v>
      </c>
      <c r="F697" t="inlineStr">
        <is>
          <t>KALMAR LÄN</t>
        </is>
      </c>
      <c r="G697" t="inlineStr">
        <is>
          <t>HULTSFRED</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53191-2023</t>
        </is>
      </c>
      <c r="B698" t="inlineStr">
        <is>
          <t>avverkningsanmälan</t>
        </is>
      </c>
      <c r="C698" t="inlineStr">
        <is>
          <t>Föryngringsavverkning</t>
        </is>
      </c>
      <c r="D698" s="1" t="n">
        <v>45229</v>
      </c>
      <c r="E698" s="1" t="n">
        <v>46217</v>
      </c>
      <c r="F698" t="inlineStr">
        <is>
          <t>KALMAR LÄN</t>
        </is>
      </c>
      <c r="G698" t="inlineStr">
        <is>
          <t>HULTSFRED</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14839-2025</t>
        </is>
      </c>
      <c r="B699" t="inlineStr">
        <is>
          <t>avverkningsanmälan</t>
        </is>
      </c>
      <c r="C699" t="inlineStr">
        <is>
          <t>Avverkning för att bevara och utveckla /försöksver</t>
        </is>
      </c>
      <c r="D699" s="1" t="n">
        <v>45743</v>
      </c>
      <c r="E699" s="1" t="n">
        <v>46217</v>
      </c>
      <c r="F699" t="inlineStr">
        <is>
          <t>KALMAR LÄN</t>
        </is>
      </c>
      <c r="G699" t="inlineStr">
        <is>
          <t>HULTSFRED</t>
        </is>
      </c>
      <c r="H699" t="inlineStr">
        <is>
          <t>Sveaskog</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2857-2024</t>
        </is>
      </c>
      <c r="B700" t="inlineStr">
        <is>
          <t>avverkningsanmälan</t>
        </is>
      </c>
      <c r="C700" t="inlineStr">
        <is>
          <t>Föryngringsavverkning</t>
        </is>
      </c>
      <c r="D700" s="1" t="n">
        <v>45315</v>
      </c>
      <c r="E700" s="1" t="n">
        <v>46217</v>
      </c>
      <c r="F700" t="inlineStr">
        <is>
          <t>KALMAR LÄN</t>
        </is>
      </c>
      <c r="G700" t="inlineStr">
        <is>
          <t>HULTSFRED</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112-2023</t>
        </is>
      </c>
      <c r="B701" t="inlineStr">
        <is>
          <t>avverkningsanmälan</t>
        </is>
      </c>
      <c r="C701" t="inlineStr">
        <is>
          <t>Föryngringsavverkning</t>
        </is>
      </c>
      <c r="D701" s="1" t="n">
        <v>44928</v>
      </c>
      <c r="E701" s="1" t="n">
        <v>46217</v>
      </c>
      <c r="F701" t="inlineStr">
        <is>
          <t>KALMAR LÄN</t>
        </is>
      </c>
      <c r="G701" t="inlineStr">
        <is>
          <t>HULTSFRED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7753-2025</t>
        </is>
      </c>
      <c r="B702" t="inlineStr">
        <is>
          <t>avverkningsanmälan</t>
        </is>
      </c>
      <c r="C702" t="inlineStr">
        <is>
          <t>Föryngringsavverkning</t>
        </is>
      </c>
      <c r="D702" s="1" t="n">
        <v>45706</v>
      </c>
      <c r="E702" s="1" t="n">
        <v>46217</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19899-2025</t>
        </is>
      </c>
      <c r="B703" t="inlineStr">
        <is>
          <t>avverkningsanmälan</t>
        </is>
      </c>
      <c r="C703" t="inlineStr">
        <is>
          <t>Föryngringsavverkning</t>
        </is>
      </c>
      <c r="D703" s="1" t="n">
        <v>45771</v>
      </c>
      <c r="E703" s="1" t="n">
        <v>46217</v>
      </c>
      <c r="F703" t="inlineStr">
        <is>
          <t>KALMAR LÄN</t>
        </is>
      </c>
      <c r="G703" t="inlineStr">
        <is>
          <t>HULTSFRED</t>
        </is>
      </c>
      <c r="I703" t="n">
        <v>6</v>
      </c>
      <c r="J703" t="n">
        <v>0</v>
      </c>
      <c r="K703" t="n">
        <v>0</v>
      </c>
      <c r="L703" t="n">
        <v>0</v>
      </c>
      <c r="M703" t="n">
        <v>0</v>
      </c>
      <c r="N703" t="n">
        <v>0</v>
      </c>
      <c r="O703" t="n">
        <v>0</v>
      </c>
      <c r="P703" t="n">
        <v>0</v>
      </c>
      <c r="Q703" t="n">
        <v>0</v>
      </c>
      <c r="R703" t="n">
        <v>0</v>
      </c>
      <c r="S703" t="n">
        <v>0</v>
      </c>
      <c r="T703" t="n">
        <v>0</v>
      </c>
      <c r="U703" s="2" t="inlineStr"/>
    </row>
    <row r="704" ht="15" customHeight="1">
      <c r="A704" t="inlineStr">
        <is>
          <t>A 11566-2025</t>
        </is>
      </c>
      <c r="B704" t="inlineStr">
        <is>
          <t>avverkningsanmälan</t>
        </is>
      </c>
      <c r="C704" t="inlineStr">
        <is>
          <t>Föryngringsavverkning</t>
        </is>
      </c>
      <c r="D704" s="1" t="n">
        <v>45727</v>
      </c>
      <c r="E704" s="1" t="n">
        <v>46217</v>
      </c>
      <c r="F704" t="inlineStr">
        <is>
          <t>KALMAR LÄN</t>
        </is>
      </c>
      <c r="G704" t="inlineStr">
        <is>
          <t>HULTSFRED</t>
        </is>
      </c>
      <c r="I704" t="n">
        <v>5.5</v>
      </c>
      <c r="J704" t="n">
        <v>0</v>
      </c>
      <c r="K704" t="n">
        <v>0</v>
      </c>
      <c r="L704" t="n">
        <v>0</v>
      </c>
      <c r="M704" t="n">
        <v>0</v>
      </c>
      <c r="N704" t="n">
        <v>0</v>
      </c>
      <c r="O704" t="n">
        <v>0</v>
      </c>
      <c r="P704" t="n">
        <v>0</v>
      </c>
      <c r="Q704" t="n">
        <v>0</v>
      </c>
      <c r="R704" t="n">
        <v>0</v>
      </c>
      <c r="S704" t="n">
        <v>0</v>
      </c>
      <c r="T704" t="n">
        <v>0</v>
      </c>
      <c r="U704" s="2" t="inlineStr"/>
    </row>
    <row r="705" ht="15" customHeight="1">
      <c r="A705" t="inlineStr">
        <is>
          <t>A 9293-2025</t>
        </is>
      </c>
      <c r="B705" t="inlineStr">
        <is>
          <t>avverkningsanmälan</t>
        </is>
      </c>
      <c r="C705" t="inlineStr">
        <is>
          <t>Föryngringsavverkning</t>
        </is>
      </c>
      <c r="D705" s="1" t="n">
        <v>45714</v>
      </c>
      <c r="E705" s="1" t="n">
        <v>46217</v>
      </c>
      <c r="F705" t="inlineStr">
        <is>
          <t>KALMAR LÄN</t>
        </is>
      </c>
      <c r="G705" t="inlineStr">
        <is>
          <t>HULTSFRED</t>
        </is>
      </c>
      <c r="I705" t="n">
        <v>3</v>
      </c>
      <c r="J705" t="n">
        <v>0</v>
      </c>
      <c r="K705" t="n">
        <v>0</v>
      </c>
      <c r="L705" t="n">
        <v>0</v>
      </c>
      <c r="M705" t="n">
        <v>0</v>
      </c>
      <c r="N705" t="n">
        <v>0</v>
      </c>
      <c r="O705" t="n">
        <v>0</v>
      </c>
      <c r="P705" t="n">
        <v>0</v>
      </c>
      <c r="Q705" t="n">
        <v>0</v>
      </c>
      <c r="R705" t="n">
        <v>0</v>
      </c>
      <c r="S705" t="n">
        <v>0</v>
      </c>
      <c r="T705" t="n">
        <v>0</v>
      </c>
      <c r="U705" s="2" t="inlineStr"/>
    </row>
    <row r="706" ht="15" customHeight="1">
      <c r="A706" t="inlineStr">
        <is>
          <t>A 13156-2025</t>
        </is>
      </c>
      <c r="B706" t="inlineStr">
        <is>
          <t>avverkningsanmälan</t>
        </is>
      </c>
      <c r="C706" t="inlineStr">
        <is>
          <t>Föryngringsavverkning</t>
        </is>
      </c>
      <c r="D706" s="1" t="n">
        <v>45735</v>
      </c>
      <c r="E706" s="1" t="n">
        <v>46217</v>
      </c>
      <c r="F706" t="inlineStr">
        <is>
          <t>KALMAR LÄN</t>
        </is>
      </c>
      <c r="G706" t="inlineStr">
        <is>
          <t>HULTSFRED</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24779-2025</t>
        </is>
      </c>
      <c r="B707" t="inlineStr">
        <is>
          <t>avverkningsanmälan</t>
        </is>
      </c>
      <c r="C707" t="inlineStr">
        <is>
          <t>Föryngringsavverkning</t>
        </is>
      </c>
      <c r="D707" s="1" t="n">
        <v>45799</v>
      </c>
      <c r="E707" s="1" t="n">
        <v>46217</v>
      </c>
      <c r="F707" t="inlineStr">
        <is>
          <t>KALMAR LÄN</t>
        </is>
      </c>
      <c r="G707" t="inlineStr">
        <is>
          <t>HULTSFRED</t>
        </is>
      </c>
      <c r="H707" t="inlineStr">
        <is>
          <t>Sveaskog</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59764-2024</t>
        </is>
      </c>
      <c r="B708" t="inlineStr">
        <is>
          <t>avverkningsanmälan</t>
        </is>
      </c>
      <c r="C708" t="inlineStr">
        <is>
          <t>Föryngringsavverkning</t>
        </is>
      </c>
      <c r="D708" s="1" t="n">
        <v>45638</v>
      </c>
      <c r="E708" s="1" t="n">
        <v>46217</v>
      </c>
      <c r="F708" t="inlineStr">
        <is>
          <t>KALMAR LÄN</t>
        </is>
      </c>
      <c r="G708" t="inlineStr">
        <is>
          <t>HULTSFRED</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61802-2024</t>
        </is>
      </c>
      <c r="B709" t="inlineStr">
        <is>
          <t>avverkningsanmälan</t>
        </is>
      </c>
      <c r="C709" t="inlineStr">
        <is>
          <t>Föryngringsavverkning</t>
        </is>
      </c>
      <c r="D709" s="1" t="n">
        <v>45649</v>
      </c>
      <c r="E709" s="1" t="n">
        <v>46217</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25549-2025</t>
        </is>
      </c>
      <c r="B710" t="inlineStr">
        <is>
          <t>avverkningsanmälan</t>
        </is>
      </c>
      <c r="C710" t="inlineStr">
        <is>
          <t>Föryngringsavverkning</t>
        </is>
      </c>
      <c r="D710" s="1" t="n">
        <v>45803</v>
      </c>
      <c r="E710" s="1" t="n">
        <v>46217</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25550-2025</t>
        </is>
      </c>
      <c r="B711" t="inlineStr">
        <is>
          <t>avverkningsanmälan</t>
        </is>
      </c>
      <c r="C711" t="inlineStr">
        <is>
          <t>Föryngringsavverkning</t>
        </is>
      </c>
      <c r="D711" s="1" t="n">
        <v>45803</v>
      </c>
      <c r="E711" s="1" t="n">
        <v>46217</v>
      </c>
      <c r="F711" t="inlineStr">
        <is>
          <t>KALMAR LÄN</t>
        </is>
      </c>
      <c r="G711" t="inlineStr">
        <is>
          <t>HULTSFRED</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14973-2025</t>
        </is>
      </c>
      <c r="B712" t="inlineStr">
        <is>
          <t>avverkningsanmälan</t>
        </is>
      </c>
      <c r="C712" t="inlineStr">
        <is>
          <t>Föryngringsavverkning</t>
        </is>
      </c>
      <c r="D712" s="1" t="n">
        <v>45743</v>
      </c>
      <c r="E712" s="1" t="n">
        <v>46217</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s="2" t="inlineStr"/>
    </row>
    <row r="713" ht="15" customHeight="1">
      <c r="A713" t="inlineStr">
        <is>
          <t>A 3729-2024</t>
        </is>
      </c>
      <c r="B713" t="inlineStr">
        <is>
          <t>avverkningsanmälan</t>
        </is>
      </c>
      <c r="C713" t="inlineStr">
        <is>
          <t>Föryngringsavverkning</t>
        </is>
      </c>
      <c r="D713" s="1" t="n">
        <v>45321</v>
      </c>
      <c r="E713" s="1" t="n">
        <v>46217</v>
      </c>
      <c r="F713" t="inlineStr">
        <is>
          <t>KALMAR LÄN</t>
        </is>
      </c>
      <c r="G713" t="inlineStr">
        <is>
          <t>HULTSFRED</t>
        </is>
      </c>
      <c r="I713" t="n">
        <v>3.2</v>
      </c>
      <c r="J713" t="n">
        <v>0</v>
      </c>
      <c r="K713" t="n">
        <v>0</v>
      </c>
      <c r="L713" t="n">
        <v>0</v>
      </c>
      <c r="M713" t="n">
        <v>0</v>
      </c>
      <c r="N713" t="n">
        <v>0</v>
      </c>
      <c r="O713" t="n">
        <v>0</v>
      </c>
      <c r="P713" t="n">
        <v>0</v>
      </c>
      <c r="Q713" t="n">
        <v>0</v>
      </c>
      <c r="R713" t="n">
        <v>0</v>
      </c>
      <c r="S713" t="n">
        <v>0</v>
      </c>
      <c r="T713" t="n">
        <v>0</v>
      </c>
      <c r="U713" s="2" t="inlineStr"/>
    </row>
    <row r="714" ht="15" customHeight="1">
      <c r="A714" t="inlineStr">
        <is>
          <t>A 59235-2024</t>
        </is>
      </c>
      <c r="B714" t="inlineStr">
        <is>
          <t>avverkningsanmälan</t>
        </is>
      </c>
      <c r="C714" t="inlineStr">
        <is>
          <t>Föryngringsavverkning</t>
        </is>
      </c>
      <c r="D714" s="1" t="n">
        <v>45637</v>
      </c>
      <c r="E714" s="1" t="n">
        <v>46217</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37161-2024</t>
        </is>
      </c>
      <c r="B715" t="inlineStr">
        <is>
          <t>avverkningsanmälan</t>
        </is>
      </c>
      <c r="C715" t="inlineStr">
        <is>
          <t>Föryngringsavverkning</t>
        </is>
      </c>
      <c r="D715" s="1" t="n">
        <v>45539</v>
      </c>
      <c r="E715" s="1" t="n">
        <v>46217</v>
      </c>
      <c r="F715" t="inlineStr">
        <is>
          <t>KALMAR LÄN</t>
        </is>
      </c>
      <c r="G715" t="inlineStr">
        <is>
          <t>HULTSFRED</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51586-2024</t>
        </is>
      </c>
      <c r="B716" t="inlineStr">
        <is>
          <t>avverkningsanmälan</t>
        </is>
      </c>
      <c r="C716" t="inlineStr">
        <is>
          <t>Föryngringsavverkning</t>
        </is>
      </c>
      <c r="D716" s="1" t="n">
        <v>45604</v>
      </c>
      <c r="E716" s="1" t="n">
        <v>46217</v>
      </c>
      <c r="F716" t="inlineStr">
        <is>
          <t>KALMAR LÄN</t>
        </is>
      </c>
      <c r="G716" t="inlineStr">
        <is>
          <t>HULTSFRED</t>
        </is>
      </c>
      <c r="I716" t="n">
        <v>4.7</v>
      </c>
      <c r="J716" t="n">
        <v>0</v>
      </c>
      <c r="K716" t="n">
        <v>0</v>
      </c>
      <c r="L716" t="n">
        <v>0</v>
      </c>
      <c r="M716" t="n">
        <v>0</v>
      </c>
      <c r="N716" t="n">
        <v>0</v>
      </c>
      <c r="O716" t="n">
        <v>0</v>
      </c>
      <c r="P716" t="n">
        <v>0</v>
      </c>
      <c r="Q716" t="n">
        <v>0</v>
      </c>
      <c r="R716" t="n">
        <v>0</v>
      </c>
      <c r="S716" t="n">
        <v>0</v>
      </c>
      <c r="T716" t="n">
        <v>0</v>
      </c>
      <c r="U716" s="2" t="inlineStr"/>
    </row>
    <row r="717" ht="15" customHeight="1">
      <c r="A717" t="inlineStr">
        <is>
          <t>A 26777-2025</t>
        </is>
      </c>
      <c r="B717" t="inlineStr">
        <is>
          <t>avverkningsanmälan</t>
        </is>
      </c>
      <c r="C717" t="inlineStr">
        <is>
          <t>Föryngringsavverkning</t>
        </is>
      </c>
      <c r="D717" s="1" t="n">
        <v>45810</v>
      </c>
      <c r="E717" s="1" t="n">
        <v>46217</v>
      </c>
      <c r="F717" t="inlineStr">
        <is>
          <t>KALMAR LÄN</t>
        </is>
      </c>
      <c r="G717" t="inlineStr">
        <is>
          <t>HULTSFRED</t>
        </is>
      </c>
      <c r="H717" t="inlineStr">
        <is>
          <t>Sveaskog</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21714-2024</t>
        </is>
      </c>
      <c r="B718" t="inlineStr">
        <is>
          <t>avverkningsanmälan</t>
        </is>
      </c>
      <c r="C718" t="inlineStr">
        <is>
          <t>Föryngringsavverkning</t>
        </is>
      </c>
      <c r="D718" s="1" t="n">
        <v>45442</v>
      </c>
      <c r="E718" s="1" t="n">
        <v>46217</v>
      </c>
      <c r="F718" t="inlineStr">
        <is>
          <t>KALMAR LÄN</t>
        </is>
      </c>
      <c r="G718" t="inlineStr">
        <is>
          <t>HULTSFRED</t>
        </is>
      </c>
      <c r="I718" t="n">
        <v>6</v>
      </c>
      <c r="J718" t="n">
        <v>0</v>
      </c>
      <c r="K718" t="n">
        <v>0</v>
      </c>
      <c r="L718" t="n">
        <v>0</v>
      </c>
      <c r="M718" t="n">
        <v>0</v>
      </c>
      <c r="N718" t="n">
        <v>0</v>
      </c>
      <c r="O718" t="n">
        <v>0</v>
      </c>
      <c r="P718" t="n">
        <v>0</v>
      </c>
      <c r="Q718" t="n">
        <v>0</v>
      </c>
      <c r="R718" t="n">
        <v>0</v>
      </c>
      <c r="S718" t="n">
        <v>0</v>
      </c>
      <c r="T718" t="n">
        <v>0</v>
      </c>
      <c r="U718" s="2" t="inlineStr"/>
    </row>
    <row r="719" ht="15" customHeight="1">
      <c r="A719" t="inlineStr">
        <is>
          <t>A 37169-2024</t>
        </is>
      </c>
      <c r="B719" t="inlineStr">
        <is>
          <t>avverkningsanmälan</t>
        </is>
      </c>
      <c r="C719" t="inlineStr">
        <is>
          <t>Avverkning för annat ändamål</t>
        </is>
      </c>
      <c r="D719" s="1" t="n">
        <v>45539</v>
      </c>
      <c r="E719" s="1" t="n">
        <v>46217</v>
      </c>
      <c r="F719" t="inlineStr">
        <is>
          <t>KALMAR LÄN</t>
        </is>
      </c>
      <c r="G719" t="inlineStr">
        <is>
          <t>HULTSFRED</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26710-2025</t>
        </is>
      </c>
      <c r="B720" t="inlineStr">
        <is>
          <t>avverkningsanmälan</t>
        </is>
      </c>
      <c r="C720" t="inlineStr">
        <is>
          <t>Föryngringsavverkning</t>
        </is>
      </c>
      <c r="D720" s="1" t="n">
        <v>45810</v>
      </c>
      <c r="E720" s="1" t="n">
        <v>46217</v>
      </c>
      <c r="F720" t="inlineStr">
        <is>
          <t>KALMAR LÄN</t>
        </is>
      </c>
      <c r="G720" t="inlineStr">
        <is>
          <t>HULTSFRED</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30269-2025</t>
        </is>
      </c>
      <c r="B721" t="inlineStr">
        <is>
          <t>avverkningsanmälan</t>
        </is>
      </c>
      <c r="C721" t="inlineStr">
        <is>
          <t>Föryngringsavverkning</t>
        </is>
      </c>
      <c r="D721" s="1" t="n">
        <v>45827</v>
      </c>
      <c r="E721" s="1" t="n">
        <v>46217</v>
      </c>
      <c r="F721" t="inlineStr">
        <is>
          <t>KALMAR LÄN</t>
        </is>
      </c>
      <c r="G721" t="inlineStr">
        <is>
          <t>HULTSFRED</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30273-2025</t>
        </is>
      </c>
      <c r="B722" t="inlineStr">
        <is>
          <t>avverkningsanmälan</t>
        </is>
      </c>
      <c r="C722" t="inlineStr">
        <is>
          <t>Föryngringsavverkning</t>
        </is>
      </c>
      <c r="D722" s="1" t="n">
        <v>45827</v>
      </c>
      <c r="E722" s="1" t="n">
        <v>46217</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30284-2025</t>
        </is>
      </c>
      <c r="B723" t="inlineStr">
        <is>
          <t>avverkningsanmälan</t>
        </is>
      </c>
      <c r="C723" t="inlineStr">
        <is>
          <t>Föryngringsavverkning</t>
        </is>
      </c>
      <c r="D723" s="1" t="n">
        <v>45827</v>
      </c>
      <c r="E723" s="1" t="n">
        <v>46217</v>
      </c>
      <c r="F723" t="inlineStr">
        <is>
          <t>KALMAR LÄN</t>
        </is>
      </c>
      <c r="G723" t="inlineStr">
        <is>
          <t>HULTSFRED</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30294-2025</t>
        </is>
      </c>
      <c r="B724" t="inlineStr">
        <is>
          <t>avverkningsanmälan</t>
        </is>
      </c>
      <c r="C724" t="inlineStr">
        <is>
          <t>Föryngringsavverkning</t>
        </is>
      </c>
      <c r="D724" s="1" t="n">
        <v>45827</v>
      </c>
      <c r="E724" s="1" t="n">
        <v>46217</v>
      </c>
      <c r="F724" t="inlineStr">
        <is>
          <t>KALMAR LÄN</t>
        </is>
      </c>
      <c r="G724" t="inlineStr">
        <is>
          <t>HULTSFRED</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30242-2025</t>
        </is>
      </c>
      <c r="B725" t="inlineStr">
        <is>
          <t>avverkningsanmälan</t>
        </is>
      </c>
      <c r="C725" t="inlineStr">
        <is>
          <t>Föryngringsavverkning</t>
        </is>
      </c>
      <c r="D725" s="1" t="n">
        <v>45827</v>
      </c>
      <c r="E725" s="1" t="n">
        <v>46217</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30233-2025</t>
        </is>
      </c>
      <c r="B726" t="inlineStr">
        <is>
          <t>avverkningsanmälan</t>
        </is>
      </c>
      <c r="C726" t="inlineStr">
        <is>
          <t>Föryngringsavverkning</t>
        </is>
      </c>
      <c r="D726" s="1" t="n">
        <v>45827</v>
      </c>
      <c r="E726" s="1" t="n">
        <v>46217</v>
      </c>
      <c r="F726" t="inlineStr">
        <is>
          <t>KALMAR LÄN</t>
        </is>
      </c>
      <c r="G726" t="inlineStr">
        <is>
          <t>HULTSFRED</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30929-2025</t>
        </is>
      </c>
      <c r="B727" t="inlineStr">
        <is>
          <t>avverkningsanmälan</t>
        </is>
      </c>
      <c r="C727" t="inlineStr">
        <is>
          <t>Föryngringsavverkning</t>
        </is>
      </c>
      <c r="D727" s="1" t="n">
        <v>45831</v>
      </c>
      <c r="E727" s="1" t="n">
        <v>46217</v>
      </c>
      <c r="F727" t="inlineStr">
        <is>
          <t>KALMAR LÄN</t>
        </is>
      </c>
      <c r="G727" t="inlineStr">
        <is>
          <t>HULTSFRED</t>
        </is>
      </c>
      <c r="H727" t="inlineStr">
        <is>
          <t>Kommuner</t>
        </is>
      </c>
      <c r="I727" t="n">
        <v>3.1</v>
      </c>
      <c r="J727" t="n">
        <v>0</v>
      </c>
      <c r="K727" t="n">
        <v>0</v>
      </c>
      <c r="L727" t="n">
        <v>0</v>
      </c>
      <c r="M727" t="n">
        <v>0</v>
      </c>
      <c r="N727" t="n">
        <v>0</v>
      </c>
      <c r="O727" t="n">
        <v>0</v>
      </c>
      <c r="P727" t="n">
        <v>0</v>
      </c>
      <c r="Q727" t="n">
        <v>0</v>
      </c>
      <c r="R727" t="n">
        <v>0</v>
      </c>
      <c r="S727" t="n">
        <v>0</v>
      </c>
      <c r="T727" t="n">
        <v>0</v>
      </c>
      <c r="U727" s="2" t="inlineStr"/>
    </row>
    <row r="728" ht="15" customHeight="1">
      <c r="A728" t="inlineStr">
        <is>
          <t>A 31265-2025</t>
        </is>
      </c>
      <c r="B728" t="inlineStr">
        <is>
          <t>avverkningsanmälan</t>
        </is>
      </c>
      <c r="C728" t="inlineStr">
        <is>
          <t>Föryngringsavverkning</t>
        </is>
      </c>
      <c r="D728" s="1" t="n">
        <v>45833</v>
      </c>
      <c r="E728" s="1" t="n">
        <v>46217</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33990-2025</t>
        </is>
      </c>
      <c r="B729" t="inlineStr">
        <is>
          <t>avverkningsanmälan</t>
        </is>
      </c>
      <c r="C729" t="inlineStr">
        <is>
          <t>Föryngringsavverkning</t>
        </is>
      </c>
      <c r="D729" s="1" t="n">
        <v>45843</v>
      </c>
      <c r="E729" s="1" t="n">
        <v>46217</v>
      </c>
      <c r="F729" t="inlineStr">
        <is>
          <t>KALMAR LÄN</t>
        </is>
      </c>
      <c r="G729" t="inlineStr">
        <is>
          <t>HULTSFRED</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14599-2022</t>
        </is>
      </c>
      <c r="B730" t="inlineStr">
        <is>
          <t>avverkningsanmälan</t>
        </is>
      </c>
      <c r="C730" t="inlineStr">
        <is>
          <t>Föryngringsavverkning</t>
        </is>
      </c>
      <c r="D730" s="1" t="n">
        <v>44655</v>
      </c>
      <c r="E730" s="1" t="n">
        <v>46217</v>
      </c>
      <c r="F730" t="inlineStr">
        <is>
          <t>KALMAR LÄN</t>
        </is>
      </c>
      <c r="G730" t="inlineStr">
        <is>
          <t>HULTSFRED</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55108-2024</t>
        </is>
      </c>
      <c r="B731" t="inlineStr">
        <is>
          <t>avverkningsanmälan</t>
        </is>
      </c>
      <c r="C731" t="inlineStr">
        <is>
          <t>Föryngringsavverkning</t>
        </is>
      </c>
      <c r="D731" s="1" t="n">
        <v>45621</v>
      </c>
      <c r="E731" s="1" t="n">
        <v>46217</v>
      </c>
      <c r="F731" t="inlineStr">
        <is>
          <t>KALMAR LÄN</t>
        </is>
      </c>
      <c r="G731" t="inlineStr">
        <is>
          <t>HULTSFRED</t>
        </is>
      </c>
      <c r="I731" t="n">
        <v>4.9</v>
      </c>
      <c r="J731" t="n">
        <v>0</v>
      </c>
      <c r="K731" t="n">
        <v>0</v>
      </c>
      <c r="L731" t="n">
        <v>0</v>
      </c>
      <c r="M731" t="n">
        <v>0</v>
      </c>
      <c r="N731" t="n">
        <v>0</v>
      </c>
      <c r="O731" t="n">
        <v>0</v>
      </c>
      <c r="P731" t="n">
        <v>0</v>
      </c>
      <c r="Q731" t="n">
        <v>0</v>
      </c>
      <c r="R731" t="n">
        <v>0</v>
      </c>
      <c r="S731" t="n">
        <v>0</v>
      </c>
      <c r="T731" t="n">
        <v>0</v>
      </c>
      <c r="U731" s="2" t="inlineStr"/>
    </row>
    <row r="732" ht="15" customHeight="1">
      <c r="A732" t="inlineStr">
        <is>
          <t>A 27594-2025</t>
        </is>
      </c>
      <c r="B732" t="inlineStr">
        <is>
          <t>avverkningsanmälan</t>
        </is>
      </c>
      <c r="C732" t="inlineStr">
        <is>
          <t>Föryngringsavverkning</t>
        </is>
      </c>
      <c r="D732" s="1" t="n">
        <v>45813</v>
      </c>
      <c r="E732" s="1" t="n">
        <v>46217</v>
      </c>
      <c r="F732" t="inlineStr">
        <is>
          <t>KALMAR LÄN</t>
        </is>
      </c>
      <c r="G732" t="inlineStr">
        <is>
          <t>HULTSFRED</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46217</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10305-2021</t>
        </is>
      </c>
      <c r="B734" t="inlineStr">
        <is>
          <t>samrådsanmälan</t>
        </is>
      </c>
      <c r="C734" t="inlineStr">
        <is>
          <t>Annan skogsbruksåtgärd</t>
        </is>
      </c>
      <c r="D734" s="1" t="n">
        <v>44546</v>
      </c>
      <c r="E734" s="1" t="n">
        <v>46217</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S 718-2022</t>
        </is>
      </c>
      <c r="B735" t="inlineStr">
        <is>
          <t>samrådsanmälan</t>
        </is>
      </c>
      <c r="C735" t="inlineStr">
        <is>
          <t>Åtgärd i nyckelbiotop</t>
        </is>
      </c>
      <c r="D735" s="1" t="n">
        <v>44600</v>
      </c>
      <c r="E735" s="1" t="n">
        <v>46217</v>
      </c>
      <c r="F735" t="inlineStr">
        <is>
          <t>KALMAR LÄN</t>
        </is>
      </c>
      <c r="G735" t="inlineStr">
        <is>
          <t>HULTSFRED</t>
        </is>
      </c>
      <c r="H735" t="inlineStr">
        <is>
          <t>Kyrkan</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S 234-2022</t>
        </is>
      </c>
      <c r="B736" t="inlineStr">
        <is>
          <t>samrådsanmälan</t>
        </is>
      </c>
      <c r="C736" t="inlineStr">
        <is>
          <t>Annan skogsbruksåtgärd</t>
        </is>
      </c>
      <c r="D736" s="1" t="n">
        <v>44575</v>
      </c>
      <c r="E736" s="1" t="n">
        <v>46217</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S 1790-2022</t>
        </is>
      </c>
      <c r="B737" t="inlineStr">
        <is>
          <t>samrådsanmälan</t>
        </is>
      </c>
      <c r="C737" t="inlineStr">
        <is>
          <t>Annan skogsbruksåtgärd</t>
        </is>
      </c>
      <c r="D737" s="1" t="n">
        <v>44656</v>
      </c>
      <c r="E737" s="1" t="n">
        <v>46217</v>
      </c>
      <c r="F737" t="inlineStr">
        <is>
          <t>KALMAR LÄN</t>
        </is>
      </c>
      <c r="G737" t="inlineStr">
        <is>
          <t>HULTSFRED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S 1522-2022</t>
        </is>
      </c>
      <c r="B738" t="inlineStr">
        <is>
          <t>samrådsanmälan</t>
        </is>
      </c>
      <c r="C738" t="inlineStr">
        <is>
          <t>Traktorväg</t>
        </is>
      </c>
      <c r="D738" s="1" t="n">
        <v>44638</v>
      </c>
      <c r="E738" s="1" t="n">
        <v>46217</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S 2572-2024</t>
        </is>
      </c>
      <c r="B739" t="inlineStr">
        <is>
          <t>samrådsanmälan</t>
        </is>
      </c>
      <c r="C739" t="inlineStr">
        <is>
          <t>Askåterföring</t>
        </is>
      </c>
      <c r="D739" s="1" t="n">
        <v>45476</v>
      </c>
      <c r="E739" s="1" t="n">
        <v>46217</v>
      </c>
      <c r="F739" t="inlineStr">
        <is>
          <t>KALMAR LÄN</t>
        </is>
      </c>
      <c r="G739" t="inlineStr">
        <is>
          <t>HULTSFRED</t>
        </is>
      </c>
      <c r="I739" t="n">
        <v>9.699999999999999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S 2324-2023</t>
        </is>
      </c>
      <c r="B740" t="inlineStr">
        <is>
          <t>samrådsanmälan</t>
        </is>
      </c>
      <c r="C740" t="inlineStr">
        <is>
          <t>Askåterföring</t>
        </is>
      </c>
      <c r="D740" s="1" t="n">
        <v>45106</v>
      </c>
      <c r="E740" s="1" t="n">
        <v>46217</v>
      </c>
      <c r="F740" t="inlineStr">
        <is>
          <t>KALMAR LÄN</t>
        </is>
      </c>
      <c r="G740" t="inlineStr">
        <is>
          <t>HULTSFRED</t>
        </is>
      </c>
      <c r="I740" t="n">
        <v>28.3</v>
      </c>
      <c r="J740" t="n">
        <v>0</v>
      </c>
      <c r="K740" t="n">
        <v>0</v>
      </c>
      <c r="L740" t="n">
        <v>0</v>
      </c>
      <c r="M740" t="n">
        <v>0</v>
      </c>
      <c r="N740" t="n">
        <v>0</v>
      </c>
      <c r="O740" t="n">
        <v>0</v>
      </c>
      <c r="P740" t="n">
        <v>0</v>
      </c>
      <c r="Q740" t="n">
        <v>0</v>
      </c>
      <c r="R740" t="n">
        <v>0</v>
      </c>
      <c r="S740" t="n">
        <v>0</v>
      </c>
      <c r="T740" t="n">
        <v>0</v>
      </c>
      <c r="U740" s="2" t="inlineStr"/>
    </row>
    <row r="741" ht="15" customHeight="1">
      <c r="A741" t="inlineStr">
        <is>
          <t>S 7173-2022</t>
        </is>
      </c>
      <c r="B741" t="inlineStr">
        <is>
          <t>samrådsanmälan</t>
        </is>
      </c>
      <c r="C741" t="inlineStr">
        <is>
          <t>Annan skogsbruksåtgärd</t>
        </is>
      </c>
      <c r="D741" s="1" t="n">
        <v>44916</v>
      </c>
      <c r="E741" s="1" t="n">
        <v>46217</v>
      </c>
      <c r="F741" t="inlineStr">
        <is>
          <t>KALMAR LÄN</t>
        </is>
      </c>
      <c r="G741" t="inlineStr">
        <is>
          <t>HULTSFRED</t>
        </is>
      </c>
      <c r="I741" t="n">
        <v>9.4</v>
      </c>
      <c r="J741" t="n">
        <v>0</v>
      </c>
      <c r="K741" t="n">
        <v>0</v>
      </c>
      <c r="L741" t="n">
        <v>0</v>
      </c>
      <c r="M741" t="n">
        <v>0</v>
      </c>
      <c r="N741" t="n">
        <v>0</v>
      </c>
      <c r="O741" t="n">
        <v>0</v>
      </c>
      <c r="P741" t="n">
        <v>0</v>
      </c>
      <c r="Q741" t="n">
        <v>0</v>
      </c>
      <c r="R741" t="n">
        <v>0</v>
      </c>
      <c r="S741" t="n">
        <v>0</v>
      </c>
      <c r="T741" t="n">
        <v>0</v>
      </c>
      <c r="U741" s="2" t="inlineStr"/>
    </row>
    <row r="742" ht="15" customHeight="1">
      <c r="A742" t="inlineStr">
        <is>
          <t>S 2617-2024</t>
        </is>
      </c>
      <c r="B742" t="inlineStr">
        <is>
          <t>samrådsanmälan</t>
        </is>
      </c>
      <c r="C742" t="inlineStr">
        <is>
          <t>Askåterföring</t>
        </is>
      </c>
      <c r="D742" s="1" t="n">
        <v>45477</v>
      </c>
      <c r="E742" s="1" t="n">
        <v>46217</v>
      </c>
      <c r="F742" t="inlineStr">
        <is>
          <t>KALMAR LÄN</t>
        </is>
      </c>
      <c r="G742" t="inlineStr">
        <is>
          <t>HULTSFRED</t>
        </is>
      </c>
      <c r="I742" t="n">
        <v>21.7</v>
      </c>
      <c r="J742" t="n">
        <v>0</v>
      </c>
      <c r="K742" t="n">
        <v>0</v>
      </c>
      <c r="L742" t="n">
        <v>0</v>
      </c>
      <c r="M742" t="n">
        <v>0</v>
      </c>
      <c r="N742" t="n">
        <v>0</v>
      </c>
      <c r="O742" t="n">
        <v>0</v>
      </c>
      <c r="P742" t="n">
        <v>0</v>
      </c>
      <c r="Q742" t="n">
        <v>0</v>
      </c>
      <c r="R742" t="n">
        <v>0</v>
      </c>
      <c r="S742" t="n">
        <v>0</v>
      </c>
      <c r="T742" t="n">
        <v>0</v>
      </c>
      <c r="U742" s="2" t="inlineStr"/>
    </row>
    <row r="743" ht="15" customHeight="1">
      <c r="A743" t="inlineStr">
        <is>
          <t>S 2615-2024</t>
        </is>
      </c>
      <c r="B743" t="inlineStr">
        <is>
          <t>samrådsanmälan</t>
        </is>
      </c>
      <c r="C743" t="inlineStr">
        <is>
          <t>Askåterföring</t>
        </is>
      </c>
      <c r="D743" s="1" t="n">
        <v>45477</v>
      </c>
      <c r="E743" s="1" t="n">
        <v>46217</v>
      </c>
      <c r="F743" t="inlineStr">
        <is>
          <t>KALMAR LÄN</t>
        </is>
      </c>
      <c r="G743" t="inlineStr">
        <is>
          <t>HULTSFRED</t>
        </is>
      </c>
      <c r="I743" t="n">
        <v>11.6</v>
      </c>
      <c r="J743" t="n">
        <v>0</v>
      </c>
      <c r="K743" t="n">
        <v>0</v>
      </c>
      <c r="L743" t="n">
        <v>0</v>
      </c>
      <c r="M743" t="n">
        <v>0</v>
      </c>
      <c r="N743" t="n">
        <v>0</v>
      </c>
      <c r="O743" t="n">
        <v>0</v>
      </c>
      <c r="P743" t="n">
        <v>0</v>
      </c>
      <c r="Q743" t="n">
        <v>0</v>
      </c>
      <c r="R743" t="n">
        <v>0</v>
      </c>
      <c r="S743" t="n">
        <v>0</v>
      </c>
      <c r="T743" t="n">
        <v>0</v>
      </c>
      <c r="U743" s="2" t="inlineStr"/>
    </row>
    <row r="744" ht="15" customHeight="1">
      <c r="A744" t="inlineStr">
        <is>
          <t>S 2619-2024</t>
        </is>
      </c>
      <c r="B744" t="inlineStr">
        <is>
          <t>samrådsanmälan</t>
        </is>
      </c>
      <c r="C744" t="inlineStr">
        <is>
          <t>Askåterföring</t>
        </is>
      </c>
      <c r="D744" s="1" t="n">
        <v>45477</v>
      </c>
      <c r="E744" s="1" t="n">
        <v>46217</v>
      </c>
      <c r="F744" t="inlineStr">
        <is>
          <t>KALMAR LÄN</t>
        </is>
      </c>
      <c r="G744" t="inlineStr">
        <is>
          <t>HULTSFRED</t>
        </is>
      </c>
      <c r="I744" t="n">
        <v>18.6</v>
      </c>
      <c r="J744" t="n">
        <v>0</v>
      </c>
      <c r="K744" t="n">
        <v>0</v>
      </c>
      <c r="L744" t="n">
        <v>0</v>
      </c>
      <c r="M744" t="n">
        <v>0</v>
      </c>
      <c r="N744" t="n">
        <v>0</v>
      </c>
      <c r="O744" t="n">
        <v>0</v>
      </c>
      <c r="P744" t="n">
        <v>0</v>
      </c>
      <c r="Q744" t="n">
        <v>0</v>
      </c>
      <c r="R744" t="n">
        <v>0</v>
      </c>
      <c r="S744" t="n">
        <v>0</v>
      </c>
      <c r="T744" t="n">
        <v>0</v>
      </c>
      <c r="U744" s="2" t="inlineStr"/>
    </row>
    <row r="745" ht="15" customHeight="1">
      <c r="A745" t="inlineStr">
        <is>
          <t>S 972-2024</t>
        </is>
      </c>
      <c r="B745" t="inlineStr">
        <is>
          <t>samrådsanmälan</t>
        </is>
      </c>
      <c r="C745" t="inlineStr">
        <is>
          <t>Annan skogsbruksåtgärd</t>
        </is>
      </c>
      <c r="D745" s="1" t="n">
        <v>45384</v>
      </c>
      <c r="E745" s="1" t="n">
        <v>46217</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S 4687-2022</t>
        </is>
      </c>
      <c r="B746" t="inlineStr">
        <is>
          <t>samrådsanmälan</t>
        </is>
      </c>
      <c r="C746" t="inlineStr">
        <is>
          <t>Askåterföring</t>
        </is>
      </c>
      <c r="D746" s="1" t="n">
        <v>44796</v>
      </c>
      <c r="E746" s="1" t="n">
        <v>46217</v>
      </c>
      <c r="F746" t="inlineStr">
        <is>
          <t>KALMAR LÄN</t>
        </is>
      </c>
      <c r="G746" t="inlineStr">
        <is>
          <t>HULTSFRED</t>
        </is>
      </c>
      <c r="I746" t="n">
        <v>9.4</v>
      </c>
      <c r="J746" t="n">
        <v>0</v>
      </c>
      <c r="K746" t="n">
        <v>0</v>
      </c>
      <c r="L746" t="n">
        <v>0</v>
      </c>
      <c r="M746" t="n">
        <v>0</v>
      </c>
      <c r="N746" t="n">
        <v>0</v>
      </c>
      <c r="O746" t="n">
        <v>0</v>
      </c>
      <c r="P746" t="n">
        <v>0</v>
      </c>
      <c r="Q746" t="n">
        <v>0</v>
      </c>
      <c r="R746" t="n">
        <v>0</v>
      </c>
      <c r="S746" t="n">
        <v>0</v>
      </c>
      <c r="T746" t="n">
        <v>0</v>
      </c>
      <c r="U746" s="2" t="inlineStr"/>
    </row>
    <row r="747" ht="15" customHeight="1">
      <c r="A747" t="inlineStr">
        <is>
          <t>S 2618-2024</t>
        </is>
      </c>
      <c r="B747" t="inlineStr">
        <is>
          <t>samrådsanmälan</t>
        </is>
      </c>
      <c r="C747" t="inlineStr">
        <is>
          <t>Askåterföring</t>
        </is>
      </c>
      <c r="D747" s="1" t="n">
        <v>45477</v>
      </c>
      <c r="E747" s="1" t="n">
        <v>46217</v>
      </c>
      <c r="F747" t="inlineStr">
        <is>
          <t>KALMAR LÄN</t>
        </is>
      </c>
      <c r="G747" t="inlineStr">
        <is>
          <t>HULTSFRED</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S 5548-2021</t>
        </is>
      </c>
      <c r="B748" t="inlineStr">
        <is>
          <t>samrådsanmälan</t>
        </is>
      </c>
      <c r="C748" t="inlineStr">
        <is>
          <t>Skogsbilväg</t>
        </is>
      </c>
      <c r="D748" s="1" t="n">
        <v>44432</v>
      </c>
      <c r="E748" s="1" t="n">
        <v>46217</v>
      </c>
      <c r="F748" t="inlineStr">
        <is>
          <t>KALMAR LÄN</t>
        </is>
      </c>
      <c r="G748" t="inlineStr">
        <is>
          <t>HULTSFRED</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46217</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46217</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46217</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46217</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46217</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46217</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46217</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46217</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46217</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46217</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46217</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46217</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46217</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46217</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46217</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46217</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46217</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46217</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46217</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2026-07-14T08:59:48Z</dcterms:created>
  <dcterms:modified xmlns:dcterms="http://purl.org/dc/terms/" xmlns:xsi="http://www.w3.org/2001/XMLSchema-instance" xsi:type="dcterms:W3CDTF">2026-07-14T08:59:48Z</dcterms:modified>
</cp:coreProperties>
</file>