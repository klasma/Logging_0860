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45984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45984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45984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45984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45984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45984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45984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45984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45984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45984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45984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45984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45984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45984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45984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45984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45984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45984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45984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45984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45984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45984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45984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45984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45984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45984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45984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45984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45984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45984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45984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45984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45984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45984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45984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45984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45984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45984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45984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45984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41608-2025</t>
        </is>
      </c>
      <c r="B54" s="1" t="n">
        <v>45901.66907407407</v>
      </c>
      <c r="C54" s="1" t="n">
        <v>45984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45984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45984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45984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45984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45984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45984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45984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45984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45984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45984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45984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45984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45984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45984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45984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45984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45984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45984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45984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45984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45984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45984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45984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45984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45984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45984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45984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45984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45984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45984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45984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45984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45984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45984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45984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45984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45984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45984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45984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45984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45984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45984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45984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45984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45984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45984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45984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45984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45984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45984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45984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45984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45984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45984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45984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45984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45984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45984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45984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45984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45984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45984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45984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45984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45984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45984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45984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45984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45984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45984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45984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68351-2020</t>
        </is>
      </c>
      <c r="B130" s="1" t="n">
        <v>44186.34966435185</v>
      </c>
      <c r="C130" s="1" t="n">
        <v>45984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45984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45984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45984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45984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45984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45984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45984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45984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45984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45984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45984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45984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45984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45984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45984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45984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45984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45984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45984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45984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45984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45984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45984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45984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45984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45984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45984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45984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45984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45984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45984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45984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45984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45984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45984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45984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45984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45984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45984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45984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45984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45984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45984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45984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69566-2021</t>
        </is>
      </c>
      <c r="B178" s="1" t="n">
        <v>44532</v>
      </c>
      <c r="C178" s="1" t="n">
        <v>45984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45984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45984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45984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45984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45984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45984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45984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45984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69158-2020</t>
        </is>
      </c>
      <c r="B187" s="1" t="n">
        <v>44188</v>
      </c>
      <c r="C187" s="1" t="n">
        <v>45984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18536-2022</t>
        </is>
      </c>
      <c r="B188" s="1" t="n">
        <v>44686</v>
      </c>
      <c r="C188" s="1" t="n">
        <v>45984</v>
      </c>
      <c r="D188" t="inlineStr">
        <is>
          <t>KALMAR LÄN</t>
        </is>
      </c>
      <c r="E188" t="inlineStr">
        <is>
          <t>HULTSFRED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45984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45984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45984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45984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45984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45984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45984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45984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45984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45984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27226-2021</t>
        </is>
      </c>
      <c r="B199" s="1" t="n">
        <v>44350.91193287037</v>
      </c>
      <c r="C199" s="1" t="n">
        <v>45984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45984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45984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45984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45984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45984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45984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45984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45984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50334-2023</t>
        </is>
      </c>
      <c r="B208" s="1" t="n">
        <v>45216</v>
      </c>
      <c r="C208" s="1" t="n">
        <v>45984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55129-2024</t>
        </is>
      </c>
      <c r="B209" s="1" t="n">
        <v>45618</v>
      </c>
      <c r="C209" s="1" t="n">
        <v>45984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45984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45984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28878-2022</t>
        </is>
      </c>
      <c r="B212" s="1" t="n">
        <v>44749</v>
      </c>
      <c r="C212" s="1" t="n">
        <v>45984</v>
      </c>
      <c r="D212" t="inlineStr">
        <is>
          <t>KALMAR LÄN</t>
        </is>
      </c>
      <c r="E212" t="inlineStr">
        <is>
          <t>HULTSFRED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45984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45984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45984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41219-2023</t>
        </is>
      </c>
      <c r="B216" s="1" t="n">
        <v>45174</v>
      </c>
      <c r="C216" s="1" t="n">
        <v>45984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45984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5788-2024</t>
        </is>
      </c>
      <c r="B218" s="1" t="n">
        <v>45335</v>
      </c>
      <c r="C218" s="1" t="n">
        <v>45984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5794-2024</t>
        </is>
      </c>
      <c r="B219" s="1" t="n">
        <v>45335.45155092593</v>
      </c>
      <c r="C219" s="1" t="n">
        <v>45984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9594-2025</t>
        </is>
      </c>
      <c r="B220" s="1" t="n">
        <v>45715.64556712963</v>
      </c>
      <c r="C220" s="1" t="n">
        <v>45984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32345-2022</t>
        </is>
      </c>
      <c r="B221" s="1" t="n">
        <v>44781.91173611111</v>
      </c>
      <c r="C221" s="1" t="n">
        <v>45984</v>
      </c>
      <c r="D221" t="inlineStr">
        <is>
          <t>KALMAR LÄN</t>
        </is>
      </c>
      <c r="E221" t="inlineStr">
        <is>
          <t>HULTSFRED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9325-2025</t>
        </is>
      </c>
      <c r="B222" s="1" t="n">
        <v>45714.74612268519</v>
      </c>
      <c r="C222" s="1" t="n">
        <v>45984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45984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6513-2024</t>
        </is>
      </c>
      <c r="B224" s="1" t="n">
        <v>45340.92813657408</v>
      </c>
      <c r="C224" s="1" t="n">
        <v>45984</v>
      </c>
      <c r="D224" t="inlineStr">
        <is>
          <t>KALMAR LÄN</t>
        </is>
      </c>
      <c r="E224" t="inlineStr">
        <is>
          <t>HULTSFRED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6514-2024</t>
        </is>
      </c>
      <c r="B225" s="1" t="n">
        <v>45340.93671296296</v>
      </c>
      <c r="C225" s="1" t="n">
        <v>45984</v>
      </c>
      <c r="D225" t="inlineStr">
        <is>
          <t>KALMAR LÄN</t>
        </is>
      </c>
      <c r="E225" t="inlineStr">
        <is>
          <t>HULTSFRED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7210-2025</t>
        </is>
      </c>
      <c r="B226" s="1" t="n">
        <v>45702.47150462963</v>
      </c>
      <c r="C226" s="1" t="n">
        <v>45984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24148-2023</t>
        </is>
      </c>
      <c r="B227" s="1" t="n">
        <v>45079</v>
      </c>
      <c r="C227" s="1" t="n">
        <v>45984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45984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19117-2024</t>
        </is>
      </c>
      <c r="B229" s="1" t="n">
        <v>45427</v>
      </c>
      <c r="C229" s="1" t="n">
        <v>45984</v>
      </c>
      <c r="D229" t="inlineStr">
        <is>
          <t>KALMAR LÄN</t>
        </is>
      </c>
      <c r="E229" t="inlineStr">
        <is>
          <t>HULTSFRED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58383-2022</t>
        </is>
      </c>
      <c r="B230" s="1" t="n">
        <v>44901</v>
      </c>
      <c r="C230" s="1" t="n">
        <v>45984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22933-2025</t>
        </is>
      </c>
      <c r="B231" s="1" t="n">
        <v>45790.45359953704</v>
      </c>
      <c r="C231" s="1" t="n">
        <v>45984</v>
      </c>
      <c r="D231" t="inlineStr">
        <is>
          <t>KALMAR LÄN</t>
        </is>
      </c>
      <c r="E231" t="inlineStr">
        <is>
          <t>HULTSFRED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HYPERLINK("https://klasma.github.io/Logging_0860/knärot/A 22933-2025 karta knärot.png", "A 22933-2025")</f>
        <v/>
      </c>
      <c r="V231">
        <f>HYPERLINK("https://klasma.github.io/Logging_0860/klagomål/A 22933-2025 FSC-klagomål.docx", "A 22933-2025")</f>
        <v/>
      </c>
      <c r="W231">
        <f>HYPERLINK("https://klasma.github.io/Logging_0860/klagomålsmail/A 22933-2025 FSC-klagomål mail.docx", "A 22933-2025")</f>
        <v/>
      </c>
      <c r="X231">
        <f>HYPERLINK("https://klasma.github.io/Logging_0860/tillsyn/A 22933-2025 tillsynsbegäran.docx", "A 22933-2025")</f>
        <v/>
      </c>
      <c r="Y231">
        <f>HYPERLINK("https://klasma.github.io/Logging_0860/tillsynsmail/A 22933-2025 tillsynsbegäran mail.docx", "A 22933-2025")</f>
        <v/>
      </c>
    </row>
    <row r="232" ht="15" customHeight="1">
      <c r="A232" t="inlineStr">
        <is>
          <t>A 22676-2025</t>
        </is>
      </c>
      <c r="B232" s="1" t="n">
        <v>45789.49431712963</v>
      </c>
      <c r="C232" s="1" t="n">
        <v>45984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16879-2025</t>
        </is>
      </c>
      <c r="B233" s="1" t="n">
        <v>45755.29387731481</v>
      </c>
      <c r="C233" s="1" t="n">
        <v>45984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18134-2024</t>
        </is>
      </c>
      <c r="B234" s="1" t="n">
        <v>45420</v>
      </c>
      <c r="C234" s="1" t="n">
        <v>45984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13781-2024</t>
        </is>
      </c>
      <c r="B235" s="1" t="n">
        <v>45391.33564814815</v>
      </c>
      <c r="C235" s="1" t="n">
        <v>45984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9590-2024</t>
        </is>
      </c>
      <c r="B236" s="1" t="n">
        <v>45360.69721064815</v>
      </c>
      <c r="C236" s="1" t="n">
        <v>45984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33441-2023</t>
        </is>
      </c>
      <c r="B237" s="1" t="n">
        <v>45129.80059027778</v>
      </c>
      <c r="C237" s="1" t="n">
        <v>45984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31423-2024</t>
        </is>
      </c>
      <c r="B238" s="1" t="n">
        <v>45505</v>
      </c>
      <c r="C238" s="1" t="n">
        <v>45984</v>
      </c>
      <c r="D238" t="inlineStr">
        <is>
          <t>KALMAR LÄN</t>
        </is>
      </c>
      <c r="E238" t="inlineStr">
        <is>
          <t>HULTSFRED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38971-2022</t>
        </is>
      </c>
      <c r="B239" s="1" t="n">
        <v>44816.82284722223</v>
      </c>
      <c r="C239" s="1" t="n">
        <v>45984</v>
      </c>
      <c r="D239" t="inlineStr">
        <is>
          <t>KALMAR LÄN</t>
        </is>
      </c>
      <c r="E239" t="inlineStr">
        <is>
          <t>HULTSFRED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27531-2025</t>
        </is>
      </c>
      <c r="B240" s="1" t="n">
        <v>45813.45608796296</v>
      </c>
      <c r="C240" s="1" t="n">
        <v>45984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33960-2025</t>
        </is>
      </c>
      <c r="B241" s="1" t="n">
        <v>45842.68615740741</v>
      </c>
      <c r="C241" s="1" t="n">
        <v>45984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32381-2024</t>
        </is>
      </c>
      <c r="B242" s="1" t="n">
        <v>45512</v>
      </c>
      <c r="C242" s="1" t="n">
        <v>45984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53726-2022</t>
        </is>
      </c>
      <c r="B243" s="1" t="n">
        <v>44880</v>
      </c>
      <c r="C243" s="1" t="n">
        <v>45984</v>
      </c>
      <c r="D243" t="inlineStr">
        <is>
          <t>KALMAR LÄN</t>
        </is>
      </c>
      <c r="E243" t="inlineStr">
        <is>
          <t>HULTSFRED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16890-2025</t>
        </is>
      </c>
      <c r="B244" s="1" t="n">
        <v>45755.31439814815</v>
      </c>
      <c r="C244" s="1" t="n">
        <v>45984</v>
      </c>
      <c r="D244" t="inlineStr">
        <is>
          <t>KALMAR LÄN</t>
        </is>
      </c>
      <c r="E244" t="inlineStr">
        <is>
          <t>HULTSFRED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144-2023</t>
        </is>
      </c>
      <c r="B245" s="1" t="n">
        <v>44928</v>
      </c>
      <c r="C245" s="1" t="n">
        <v>45984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62120-2023</t>
        </is>
      </c>
      <c r="B246" s="1" t="n">
        <v>45267.28141203704</v>
      </c>
      <c r="C246" s="1" t="n">
        <v>45984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2862-2025</t>
        </is>
      </c>
      <c r="B247" s="1" t="n">
        <v>45677</v>
      </c>
      <c r="C247" s="1" t="n">
        <v>45984</v>
      </c>
      <c r="D247" t="inlineStr">
        <is>
          <t>KALMAR LÄN</t>
        </is>
      </c>
      <c r="E247" t="inlineStr">
        <is>
          <t>HULTSFRED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45477.36623842592</v>
      </c>
      <c r="C248" s="1" t="n">
        <v>45984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28224-2024</t>
        </is>
      </c>
      <c r="B249" s="1" t="n">
        <v>45477.37200231481</v>
      </c>
      <c r="C249" s="1" t="n">
        <v>45984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38943-2025</t>
        </is>
      </c>
      <c r="B250" s="1" t="n">
        <v>45887.65018518519</v>
      </c>
      <c r="C250" s="1" t="n">
        <v>45984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39422-2025</t>
        </is>
      </c>
      <c r="B251" s="1" t="n">
        <v>45889.67118055555</v>
      </c>
      <c r="C251" s="1" t="n">
        <v>45984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44977-2021</t>
        </is>
      </c>
      <c r="B252" s="1" t="n">
        <v>44438</v>
      </c>
      <c r="C252" s="1" t="n">
        <v>45984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49703-2022</t>
        </is>
      </c>
      <c r="B253" s="1" t="n">
        <v>44862</v>
      </c>
      <c r="C253" s="1" t="n">
        <v>45984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5878-2023</t>
        </is>
      </c>
      <c r="B254" s="1" t="n">
        <v>44963.62231481481</v>
      </c>
      <c r="C254" s="1" t="n">
        <v>45984</v>
      </c>
      <c r="D254" t="inlineStr">
        <is>
          <t>KALMAR LÄN</t>
        </is>
      </c>
      <c r="E254" t="inlineStr">
        <is>
          <t>HULTSFRED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40187-2025</t>
        </is>
      </c>
      <c r="B255" s="1" t="n">
        <v>45894.65247685185</v>
      </c>
      <c r="C255" s="1" t="n">
        <v>45984</v>
      </c>
      <c r="D255" t="inlineStr">
        <is>
          <t>KALMAR LÄN</t>
        </is>
      </c>
      <c r="E255" t="inlineStr">
        <is>
          <t>HULTSFRED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62635-2023</t>
        </is>
      </c>
      <c r="B256" s="1" t="n">
        <v>45271.41395833333</v>
      </c>
      <c r="C256" s="1" t="n">
        <v>45984</v>
      </c>
      <c r="D256" t="inlineStr">
        <is>
          <t>KALMAR LÄN</t>
        </is>
      </c>
      <c r="E256" t="inlineStr">
        <is>
          <t>HULTSFRED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40374-2025</t>
        </is>
      </c>
      <c r="B257" s="1" t="n">
        <v>45895.51850694444</v>
      </c>
      <c r="C257" s="1" t="n">
        <v>45984</v>
      </c>
      <c r="D257" t="inlineStr">
        <is>
          <t>KALMAR LÄN</t>
        </is>
      </c>
      <c r="E257" t="inlineStr">
        <is>
          <t>HULTSFRED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34038-2023</t>
        </is>
      </c>
      <c r="B258" s="1" t="n">
        <v>45135.42358796296</v>
      </c>
      <c r="C258" s="1" t="n">
        <v>45984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63074-2023</t>
        </is>
      </c>
      <c r="B259" s="1" t="n">
        <v>45273.28496527778</v>
      </c>
      <c r="C259" s="1" t="n">
        <v>45984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13156-2025</t>
        </is>
      </c>
      <c r="B260" s="1" t="n">
        <v>45735.35633101852</v>
      </c>
      <c r="C260" s="1" t="n">
        <v>45984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25255-2025</t>
        </is>
      </c>
      <c r="B261" s="1" t="n">
        <v>45800.50819444445</v>
      </c>
      <c r="C261" s="1" t="n">
        <v>45984</v>
      </c>
      <c r="D261" t="inlineStr">
        <is>
          <t>KALMAR LÄN</t>
        </is>
      </c>
      <c r="E261" t="inlineStr">
        <is>
          <t>HULTSFRED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28214-2024</t>
        </is>
      </c>
      <c r="B262" s="1" t="n">
        <v>45477.36236111111</v>
      </c>
      <c r="C262" s="1" t="n">
        <v>45984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40006-2023</t>
        </is>
      </c>
      <c r="B263" s="1" t="n">
        <v>45168</v>
      </c>
      <c r="C263" s="1" t="n">
        <v>45984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68088-2021</t>
        </is>
      </c>
      <c r="B264" s="1" t="n">
        <v>44526</v>
      </c>
      <c r="C264" s="1" t="n">
        <v>45984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2629-2023</t>
        </is>
      </c>
      <c r="B265" s="1" t="n">
        <v>44942</v>
      </c>
      <c r="C265" s="1" t="n">
        <v>45984</v>
      </c>
      <c r="D265" t="inlineStr">
        <is>
          <t>KALMAR LÄN</t>
        </is>
      </c>
      <c r="E265" t="inlineStr">
        <is>
          <t>HULTSFRED</t>
        </is>
      </c>
      <c r="G265" t="n">
        <v>58.7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24779-2025</t>
        </is>
      </c>
      <c r="B266" s="1" t="n">
        <v>45799.41569444445</v>
      </c>
      <c r="C266" s="1" t="n">
        <v>45984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59764-2024</t>
        </is>
      </c>
      <c r="B267" s="1" t="n">
        <v>45638</v>
      </c>
      <c r="C267" s="1" t="n">
        <v>45984</v>
      </c>
      <c r="D267" t="inlineStr">
        <is>
          <t>KALMAR LÄN</t>
        </is>
      </c>
      <c r="E267" t="inlineStr">
        <is>
          <t>HULTSFRED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61802-2024</t>
        </is>
      </c>
      <c r="B268" s="1" t="n">
        <v>45649.56431712963</v>
      </c>
      <c r="C268" s="1" t="n">
        <v>45984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25549-2025</t>
        </is>
      </c>
      <c r="B269" s="1" t="n">
        <v>45803.44508101852</v>
      </c>
      <c r="C269" s="1" t="n">
        <v>45984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25550-2025</t>
        </is>
      </c>
      <c r="B270" s="1" t="n">
        <v>45803.44677083333</v>
      </c>
      <c r="C270" s="1" t="n">
        <v>45984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54209-2021</t>
        </is>
      </c>
      <c r="B271" s="1" t="n">
        <v>44470</v>
      </c>
      <c r="C271" s="1" t="n">
        <v>45984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14973-2025</t>
        </is>
      </c>
      <c r="B272" s="1" t="n">
        <v>45743</v>
      </c>
      <c r="C272" s="1" t="n">
        <v>45984</v>
      </c>
      <c r="D272" t="inlineStr">
        <is>
          <t>KALMAR LÄN</t>
        </is>
      </c>
      <c r="E272" t="inlineStr">
        <is>
          <t>HULTSFRED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3729-2024</t>
        </is>
      </c>
      <c r="B273" s="1" t="n">
        <v>45321.48475694445</v>
      </c>
      <c r="C273" s="1" t="n">
        <v>45984</v>
      </c>
      <c r="D273" t="inlineStr">
        <is>
          <t>KALMAR LÄN</t>
        </is>
      </c>
      <c r="E273" t="inlineStr">
        <is>
          <t>HULTSFRED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54944-2021</t>
        </is>
      </c>
      <c r="B274" s="1" t="n">
        <v>44474.46346064815</v>
      </c>
      <c r="C274" s="1" t="n">
        <v>45984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68818-2021</t>
        </is>
      </c>
      <c r="B275" s="1" t="n">
        <v>44530.34732638889</v>
      </c>
      <c r="C275" s="1" t="n">
        <v>45984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59235-2024</t>
        </is>
      </c>
      <c r="B276" s="1" t="n">
        <v>45637.58633101852</v>
      </c>
      <c r="C276" s="1" t="n">
        <v>45984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12192-2025</t>
        </is>
      </c>
      <c r="B277" s="1" t="n">
        <v>45729.46997685185</v>
      </c>
      <c r="C277" s="1" t="n">
        <v>45984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37161-2024</t>
        </is>
      </c>
      <c r="B278" s="1" t="n">
        <v>45539.61945601852</v>
      </c>
      <c r="C278" s="1" t="n">
        <v>45984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50302-2025</t>
        </is>
      </c>
      <c r="B279" s="1" t="n">
        <v>45944.41302083333</v>
      </c>
      <c r="C279" s="1" t="n">
        <v>45984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41640-2025</t>
        </is>
      </c>
      <c r="B280" s="1" t="n">
        <v>45901</v>
      </c>
      <c r="C280" s="1" t="n">
        <v>45984</v>
      </c>
      <c r="D280" t="inlineStr">
        <is>
          <t>KALMAR LÄN</t>
        </is>
      </c>
      <c r="E280" t="inlineStr">
        <is>
          <t>HULTSFRED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45984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41646-2025</t>
        </is>
      </c>
      <c r="B282" s="1" t="n">
        <v>45902.32299768519</v>
      </c>
      <c r="C282" s="1" t="n">
        <v>45984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50297-2025</t>
        </is>
      </c>
      <c r="B283" s="1" t="n">
        <v>45944.40952546296</v>
      </c>
      <c r="C283" s="1" t="n">
        <v>45984</v>
      </c>
      <c r="D283" t="inlineStr">
        <is>
          <t>KALMAR LÄN</t>
        </is>
      </c>
      <c r="E283" t="inlineStr">
        <is>
          <t>HULTSFRED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55406-2024</t>
        </is>
      </c>
      <c r="B284" s="1" t="n">
        <v>45622.35957175926</v>
      </c>
      <c r="C284" s="1" t="n">
        <v>45984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52897-2024</t>
        </is>
      </c>
      <c r="B285" s="1" t="n">
        <v>45610.67653935185</v>
      </c>
      <c r="C285" s="1" t="n">
        <v>45984</v>
      </c>
      <c r="D285" t="inlineStr">
        <is>
          <t>KALMAR LÄN</t>
        </is>
      </c>
      <c r="E285" t="inlineStr">
        <is>
          <t>HULTSFRED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40095-2024</t>
        </is>
      </c>
      <c r="B286" s="1" t="n">
        <v>45554.4112037037</v>
      </c>
      <c r="C286" s="1" t="n">
        <v>45984</v>
      </c>
      <c r="D286" t="inlineStr">
        <is>
          <t>KALMAR LÄN</t>
        </is>
      </c>
      <c r="E286" t="inlineStr">
        <is>
          <t>HULTSFRED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20947-2024</t>
        </is>
      </c>
      <c r="B287" s="1" t="n">
        <v>45439.56127314815</v>
      </c>
      <c r="C287" s="1" t="n">
        <v>45984</v>
      </c>
      <c r="D287" t="inlineStr">
        <is>
          <t>KALMAR LÄN</t>
        </is>
      </c>
      <c r="E287" t="inlineStr">
        <is>
          <t>HULTSFRED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17330-2024</t>
        </is>
      </c>
      <c r="B288" s="1" t="n">
        <v>45414</v>
      </c>
      <c r="C288" s="1" t="n">
        <v>45984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9587-2025</t>
        </is>
      </c>
      <c r="B289" s="1" t="n">
        <v>45715.6405787037</v>
      </c>
      <c r="C289" s="1" t="n">
        <v>45984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14822-2025</t>
        </is>
      </c>
      <c r="B290" s="1" t="n">
        <v>45743.3609375</v>
      </c>
      <c r="C290" s="1" t="n">
        <v>45984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25020-2023</t>
        </is>
      </c>
      <c r="B291" s="1" t="n">
        <v>45085</v>
      </c>
      <c r="C291" s="1" t="n">
        <v>45984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51586-2024</t>
        </is>
      </c>
      <c r="B292" s="1" t="n">
        <v>45604.64454861111</v>
      </c>
      <c r="C292" s="1" t="n">
        <v>45984</v>
      </c>
      <c r="D292" t="inlineStr">
        <is>
          <t>KALMAR LÄN</t>
        </is>
      </c>
      <c r="E292" t="inlineStr">
        <is>
          <t>HULTSFRED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26777-2025</t>
        </is>
      </c>
      <c r="B293" s="1" t="n">
        <v>45810.579375</v>
      </c>
      <c r="C293" s="1" t="n">
        <v>45984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26700-2025</t>
        </is>
      </c>
      <c r="B294" s="1" t="n">
        <v>45810.44914351852</v>
      </c>
      <c r="C294" s="1" t="n">
        <v>45984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50634-2025</t>
        </is>
      </c>
      <c r="B295" s="1" t="n">
        <v>45945.64921296296</v>
      </c>
      <c r="C295" s="1" t="n">
        <v>45984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61549-2022</t>
        </is>
      </c>
      <c r="B296" s="1" t="n">
        <v>44916.57162037037</v>
      </c>
      <c r="C296" s="1" t="n">
        <v>45984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41972-2025</t>
        </is>
      </c>
      <c r="B297" s="1" t="n">
        <v>45903.49077546296</v>
      </c>
      <c r="C297" s="1" t="n">
        <v>45984</v>
      </c>
      <c r="D297" t="inlineStr">
        <is>
          <t>KALMAR LÄN</t>
        </is>
      </c>
      <c r="E297" t="inlineStr">
        <is>
          <t>HULTSFRED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21714-2024</t>
        </is>
      </c>
      <c r="B298" s="1" t="n">
        <v>45442.48394675926</v>
      </c>
      <c r="C298" s="1" t="n">
        <v>45984</v>
      </c>
      <c r="D298" t="inlineStr">
        <is>
          <t>KALMAR LÄN</t>
        </is>
      </c>
      <c r="E298" t="inlineStr">
        <is>
          <t>HULTSFRED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4835-2022</t>
        </is>
      </c>
      <c r="B299" s="1" t="n">
        <v>44592</v>
      </c>
      <c r="C299" s="1" t="n">
        <v>45984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42077-2025</t>
        </is>
      </c>
      <c r="B300" s="1" t="n">
        <v>45903.67501157407</v>
      </c>
      <c r="C300" s="1" t="n">
        <v>45984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58476-2024</t>
        </is>
      </c>
      <c r="B301" s="1" t="n">
        <v>45635.38275462963</v>
      </c>
      <c r="C301" s="1" t="n">
        <v>45984</v>
      </c>
      <c r="D301" t="inlineStr">
        <is>
          <t>KALMAR LÄN</t>
        </is>
      </c>
      <c r="E301" t="inlineStr">
        <is>
          <t>HULTSFRED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59464-2024</t>
        </is>
      </c>
      <c r="B302" s="1" t="n">
        <v>45638.48775462963</v>
      </c>
      <c r="C302" s="1" t="n">
        <v>45984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37169-2024</t>
        </is>
      </c>
      <c r="B303" s="1" t="n">
        <v>45539</v>
      </c>
      <c r="C303" s="1" t="n">
        <v>45984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50521-2025</t>
        </is>
      </c>
      <c r="B304" s="1" t="n">
        <v>45945.46298611111</v>
      </c>
      <c r="C304" s="1" t="n">
        <v>45984</v>
      </c>
      <c r="D304" t="inlineStr">
        <is>
          <t>KALMAR LÄN</t>
        </is>
      </c>
      <c r="E304" t="inlineStr">
        <is>
          <t>HULTSFRED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42093-2025</t>
        </is>
      </c>
      <c r="B305" s="1" t="n">
        <v>45903.70535879629</v>
      </c>
      <c r="C305" s="1" t="n">
        <v>45984</v>
      </c>
      <c r="D305" t="inlineStr">
        <is>
          <t>KALMAR LÄN</t>
        </is>
      </c>
      <c r="E305" t="inlineStr">
        <is>
          <t>HULTSFRED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26710-2025</t>
        </is>
      </c>
      <c r="B306" s="1" t="n">
        <v>45810.45978009259</v>
      </c>
      <c r="C306" s="1" t="n">
        <v>45984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27292-2025</t>
        </is>
      </c>
      <c r="B307" s="1" t="n">
        <v>45812.5667824074</v>
      </c>
      <c r="C307" s="1" t="n">
        <v>45984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11648-2023</t>
        </is>
      </c>
      <c r="B308" s="1" t="n">
        <v>44994.45459490741</v>
      </c>
      <c r="C308" s="1" t="n">
        <v>45984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20036-2023</t>
        </is>
      </c>
      <c r="B309" s="1" t="n">
        <v>45054</v>
      </c>
      <c r="C309" s="1" t="n">
        <v>45984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27298-2025</t>
        </is>
      </c>
      <c r="B310" s="1" t="n">
        <v>45812.57081018519</v>
      </c>
      <c r="C310" s="1" t="n">
        <v>45984</v>
      </c>
      <c r="D310" t="inlineStr">
        <is>
          <t>KALMAR LÄN</t>
        </is>
      </c>
      <c r="E310" t="inlineStr">
        <is>
          <t>HULTSFRED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27304-2025</t>
        </is>
      </c>
      <c r="B311" s="1" t="n">
        <v>45812.57268518519</v>
      </c>
      <c r="C311" s="1" t="n">
        <v>45984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27310-2025</t>
        </is>
      </c>
      <c r="B312" s="1" t="n">
        <v>45812.57512731481</v>
      </c>
      <c r="C312" s="1" t="n">
        <v>45984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36931-2024</t>
        </is>
      </c>
      <c r="B313" s="1" t="n">
        <v>45538</v>
      </c>
      <c r="C313" s="1" t="n">
        <v>45984</v>
      </c>
      <c r="D313" t="inlineStr">
        <is>
          <t>KALMAR LÄN</t>
        </is>
      </c>
      <c r="E313" t="inlineStr">
        <is>
          <t>HULTSFRED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27537-2025</t>
        </is>
      </c>
      <c r="B314" s="1" t="n">
        <v>45813.45994212963</v>
      </c>
      <c r="C314" s="1" t="n">
        <v>45984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6547-2021</t>
        </is>
      </c>
      <c r="B315" s="1" t="n">
        <v>44236</v>
      </c>
      <c r="C315" s="1" t="n">
        <v>45984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50999-2025</t>
        </is>
      </c>
      <c r="B316" s="1" t="n">
        <v>45947.35587962963</v>
      </c>
      <c r="C316" s="1" t="n">
        <v>45984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42442-2025</t>
        </is>
      </c>
      <c r="B317" s="1" t="n">
        <v>45905.43545138889</v>
      </c>
      <c r="C317" s="1" t="n">
        <v>45984</v>
      </c>
      <c r="D317" t="inlineStr">
        <is>
          <t>KALMAR LÄN</t>
        </is>
      </c>
      <c r="E317" t="inlineStr">
        <is>
          <t>HULTSFRED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42869-2025</t>
        </is>
      </c>
      <c r="B318" s="1" t="n">
        <v>45908</v>
      </c>
      <c r="C318" s="1" t="n">
        <v>45984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51001-2025</t>
        </is>
      </c>
      <c r="B319" s="1" t="n">
        <v>45947.35896990741</v>
      </c>
      <c r="C319" s="1" t="n">
        <v>45984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37153-2023</t>
        </is>
      </c>
      <c r="B320" s="1" t="n">
        <v>45155.60460648148</v>
      </c>
      <c r="C320" s="1" t="n">
        <v>45984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42539-2025</t>
        </is>
      </c>
      <c r="B321" s="1" t="n">
        <v>45905</v>
      </c>
      <c r="C321" s="1" t="n">
        <v>45984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51052-2025</t>
        </is>
      </c>
      <c r="B322" s="1" t="n">
        <v>45947.43758101852</v>
      </c>
      <c r="C322" s="1" t="n">
        <v>45984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42859-2025</t>
        </is>
      </c>
      <c r="B323" s="1" t="n">
        <v>45908</v>
      </c>
      <c r="C323" s="1" t="n">
        <v>45984</v>
      </c>
      <c r="D323" t="inlineStr">
        <is>
          <t>KALMAR LÄN</t>
        </is>
      </c>
      <c r="E323" t="inlineStr">
        <is>
          <t>HULTSFRED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42873-2025</t>
        </is>
      </c>
      <c r="B324" s="1" t="n">
        <v>45908</v>
      </c>
      <c r="C324" s="1" t="n">
        <v>45984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28102-2025</t>
        </is>
      </c>
      <c r="B325" s="1" t="n">
        <v>45817.8397337963</v>
      </c>
      <c r="C325" s="1" t="n">
        <v>45984</v>
      </c>
      <c r="D325" t="inlineStr">
        <is>
          <t>KALMAR LÄN</t>
        </is>
      </c>
      <c r="E325" t="inlineStr">
        <is>
          <t>HULTSFRED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43037-2025</t>
        </is>
      </c>
      <c r="B326" s="1" t="n">
        <v>45909.54929398148</v>
      </c>
      <c r="C326" s="1" t="n">
        <v>45984</v>
      </c>
      <c r="D326" t="inlineStr">
        <is>
          <t>KALMAR LÄN</t>
        </is>
      </c>
      <c r="E326" t="inlineStr">
        <is>
          <t>HULTSFRED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28242-2025</t>
        </is>
      </c>
      <c r="B327" s="1" t="n">
        <v>45818.50829861111</v>
      </c>
      <c r="C327" s="1" t="n">
        <v>45984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42462-2023</t>
        </is>
      </c>
      <c r="B328" s="1" t="n">
        <v>45175</v>
      </c>
      <c r="C328" s="1" t="n">
        <v>45984</v>
      </c>
      <c r="D328" t="inlineStr">
        <is>
          <t>KALMAR LÄN</t>
        </is>
      </c>
      <c r="E328" t="inlineStr">
        <is>
          <t>HULTSFRED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51928-2025</t>
        </is>
      </c>
      <c r="B329" s="1" t="n">
        <v>45952.49591435185</v>
      </c>
      <c r="C329" s="1" t="n">
        <v>45984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3337-2023</t>
        </is>
      </c>
      <c r="B330" s="1" t="n">
        <v>44949.44762731482</v>
      </c>
      <c r="C330" s="1" t="n">
        <v>45984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38705-2024</t>
        </is>
      </c>
      <c r="B331" s="1" t="n">
        <v>45547.37052083333</v>
      </c>
      <c r="C331" s="1" t="n">
        <v>45984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12328-2023</t>
        </is>
      </c>
      <c r="B332" s="1" t="n">
        <v>44999.36128472222</v>
      </c>
      <c r="C332" s="1" t="n">
        <v>45984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51759-2025</t>
        </is>
      </c>
      <c r="B333" s="1" t="n">
        <v>45951.63486111111</v>
      </c>
      <c r="C333" s="1" t="n">
        <v>45984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43208-2025</t>
        </is>
      </c>
      <c r="B334" s="1" t="n">
        <v>45910.45300925926</v>
      </c>
      <c r="C334" s="1" t="n">
        <v>45984</v>
      </c>
      <c r="D334" t="inlineStr">
        <is>
          <t>KALMAR LÄN</t>
        </is>
      </c>
      <c r="E334" t="inlineStr">
        <is>
          <t>HULTSFRED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52133-2025</t>
        </is>
      </c>
      <c r="B335" s="1" t="n">
        <v>45952.81768518518</v>
      </c>
      <c r="C335" s="1" t="n">
        <v>45984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28575-2025</t>
        </is>
      </c>
      <c r="B336" s="1" t="n">
        <v>45819.56673611111</v>
      </c>
      <c r="C336" s="1" t="n">
        <v>45984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52134-2025</t>
        </is>
      </c>
      <c r="B337" s="1" t="n">
        <v>45952.81864583334</v>
      </c>
      <c r="C337" s="1" t="n">
        <v>45984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262-2022</t>
        </is>
      </c>
      <c r="B338" s="1" t="n">
        <v>44565</v>
      </c>
      <c r="C338" s="1" t="n">
        <v>45984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33235-2023</t>
        </is>
      </c>
      <c r="B339" s="1" t="n">
        <v>45127</v>
      </c>
      <c r="C339" s="1" t="n">
        <v>45984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45984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3530-2025</t>
        </is>
      </c>
      <c r="B341" s="1" t="n">
        <v>45680</v>
      </c>
      <c r="C341" s="1" t="n">
        <v>45984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43034-2025</t>
        </is>
      </c>
      <c r="B342" s="1" t="n">
        <v>45909.54364583334</v>
      </c>
      <c r="C342" s="1" t="n">
        <v>45984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43041-2025</t>
        </is>
      </c>
      <c r="B343" s="1" t="n">
        <v>45909.55575231482</v>
      </c>
      <c r="C343" s="1" t="n">
        <v>45984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43044-2025</t>
        </is>
      </c>
      <c r="B344" s="1" t="n">
        <v>45909.56019675926</v>
      </c>
      <c r="C344" s="1" t="n">
        <v>45984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42770-2024</t>
        </is>
      </c>
      <c r="B345" s="1" t="n">
        <v>45566</v>
      </c>
      <c r="C345" s="1" t="n">
        <v>45984</v>
      </c>
      <c r="D345" t="inlineStr">
        <is>
          <t>KALMAR LÄN</t>
        </is>
      </c>
      <c r="E345" t="inlineStr">
        <is>
          <t>HULTSFRED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5000-2025</t>
        </is>
      </c>
      <c r="B346" s="1" t="n">
        <v>45691.36315972222</v>
      </c>
      <c r="C346" s="1" t="n">
        <v>45984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45984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43454-2025</t>
        </is>
      </c>
      <c r="B348" s="1" t="n">
        <v>45911.45987268518</v>
      </c>
      <c r="C348" s="1" t="n">
        <v>45984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29901-2025</t>
        </is>
      </c>
      <c r="B349" s="1" t="n">
        <v>45826.38826388889</v>
      </c>
      <c r="C349" s="1" t="n">
        <v>45984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42914-2025</t>
        </is>
      </c>
      <c r="B350" s="1" t="n">
        <v>45908</v>
      </c>
      <c r="C350" s="1" t="n">
        <v>45984</v>
      </c>
      <c r="D350" t="inlineStr">
        <is>
          <t>KALMAR LÄN</t>
        </is>
      </c>
      <c r="E350" t="inlineStr">
        <is>
          <t>HULTSFRED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45984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33683-2025</t>
        </is>
      </c>
      <c r="B352" s="1" t="n">
        <v>45841</v>
      </c>
      <c r="C352" s="1" t="n">
        <v>45984</v>
      </c>
      <c r="D352" t="inlineStr">
        <is>
          <t>KALMAR LÄN</t>
        </is>
      </c>
      <c r="E352" t="inlineStr">
        <is>
          <t>HULTSFRED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33684-2025</t>
        </is>
      </c>
      <c r="B353" s="1" t="n">
        <v>45841</v>
      </c>
      <c r="C353" s="1" t="n">
        <v>45984</v>
      </c>
      <c r="D353" t="inlineStr">
        <is>
          <t>KALMAR LÄN</t>
        </is>
      </c>
      <c r="E353" t="inlineStr">
        <is>
          <t>HULTSFRED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29718-2025</t>
        </is>
      </c>
      <c r="B354" s="1" t="n">
        <v>45825</v>
      </c>
      <c r="C354" s="1" t="n">
        <v>45984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42827-2025</t>
        </is>
      </c>
      <c r="B355" s="1" t="n">
        <v>45908</v>
      </c>
      <c r="C355" s="1" t="n">
        <v>45984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45984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29903-2025</t>
        </is>
      </c>
      <c r="B357" s="1" t="n">
        <v>45826.38912037037</v>
      </c>
      <c r="C357" s="1" t="n">
        <v>45984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46465-2023</t>
        </is>
      </c>
      <c r="B358" s="1" t="n">
        <v>45197.62081018519</v>
      </c>
      <c r="C358" s="1" t="n">
        <v>45984</v>
      </c>
      <c r="D358" t="inlineStr">
        <is>
          <t>KALMAR LÄN</t>
        </is>
      </c>
      <c r="E358" t="inlineStr">
        <is>
          <t>HULTSFRED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20827-2025</t>
        </is>
      </c>
      <c r="B359" s="1" t="n">
        <v>45776</v>
      </c>
      <c r="C359" s="1" t="n">
        <v>45984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35305-2023</t>
        </is>
      </c>
      <c r="B360" s="1" t="n">
        <v>45146.34890046297</v>
      </c>
      <c r="C360" s="1" t="n">
        <v>45984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29744-2025</t>
        </is>
      </c>
      <c r="B361" s="1" t="n">
        <v>45825</v>
      </c>
      <c r="C361" s="1" t="n">
        <v>45984</v>
      </c>
      <c r="D361" t="inlineStr">
        <is>
          <t>KALMAR LÄN</t>
        </is>
      </c>
      <c r="E361" t="inlineStr">
        <is>
          <t>HULTSFRED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43859-2025</t>
        </is>
      </c>
      <c r="B362" s="1" t="n">
        <v>45912.65081018519</v>
      </c>
      <c r="C362" s="1" t="n">
        <v>45984</v>
      </c>
      <c r="D362" t="inlineStr">
        <is>
          <t>KALMAR LÄN</t>
        </is>
      </c>
      <c r="E362" t="inlineStr">
        <is>
          <t>HULTSFRED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19047-2023</t>
        </is>
      </c>
      <c r="B363" s="1" t="n">
        <v>45047</v>
      </c>
      <c r="C363" s="1" t="n">
        <v>45984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33682-2025</t>
        </is>
      </c>
      <c r="B364" s="1" t="n">
        <v>45841</v>
      </c>
      <c r="C364" s="1" t="n">
        <v>45984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55495-2023</t>
        </is>
      </c>
      <c r="B365" s="1" t="n">
        <v>45238</v>
      </c>
      <c r="C365" s="1" t="n">
        <v>45984</v>
      </c>
      <c r="D365" t="inlineStr">
        <is>
          <t>KALMAR LÄN</t>
        </is>
      </c>
      <c r="E365" t="inlineStr">
        <is>
          <t>HULTSFRED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30269-2025</t>
        </is>
      </c>
      <c r="B366" s="1" t="n">
        <v>45827.44914351852</v>
      </c>
      <c r="C366" s="1" t="n">
        <v>45984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30270-2025</t>
        </is>
      </c>
      <c r="B367" s="1" t="n">
        <v>45827.45063657407</v>
      </c>
      <c r="C367" s="1" t="n">
        <v>45984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30273-2025</t>
        </is>
      </c>
      <c r="B368" s="1" t="n">
        <v>45827.45379629629</v>
      </c>
      <c r="C368" s="1" t="n">
        <v>45984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30278-2025</t>
        </is>
      </c>
      <c r="B369" s="1" t="n">
        <v>45827.45690972222</v>
      </c>
      <c r="C369" s="1" t="n">
        <v>45984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30284-2025</t>
        </is>
      </c>
      <c r="B370" s="1" t="n">
        <v>45827.46381944444</v>
      </c>
      <c r="C370" s="1" t="n">
        <v>45984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30294-2025</t>
        </is>
      </c>
      <c r="B371" s="1" t="n">
        <v>45827.47229166667</v>
      </c>
      <c r="C371" s="1" t="n">
        <v>45984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42743-2024</t>
        </is>
      </c>
      <c r="B372" s="1" t="n">
        <v>45566.4808449074</v>
      </c>
      <c r="C372" s="1" t="n">
        <v>45984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10546-2021</t>
        </is>
      </c>
      <c r="B373" s="1" t="n">
        <v>44258</v>
      </c>
      <c r="C373" s="1" t="n">
        <v>45984</v>
      </c>
      <c r="D373" t="inlineStr">
        <is>
          <t>KALMAR LÄN</t>
        </is>
      </c>
      <c r="E373" t="inlineStr">
        <is>
          <t>HULTSFRED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30281-2025</t>
        </is>
      </c>
      <c r="B374" s="1" t="n">
        <v>45827.45986111111</v>
      </c>
      <c r="C374" s="1" t="n">
        <v>45984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45984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42847-2025</t>
        </is>
      </c>
      <c r="B376" s="1" t="n">
        <v>45908</v>
      </c>
      <c r="C376" s="1" t="n">
        <v>45984</v>
      </c>
      <c r="D376" t="inlineStr">
        <is>
          <t>KALMAR LÄN</t>
        </is>
      </c>
      <c r="E376" t="inlineStr">
        <is>
          <t>HULTSFRED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30233-2025</t>
        </is>
      </c>
      <c r="B377" s="1" t="n">
        <v>45827.38844907407</v>
      </c>
      <c r="C377" s="1" t="n">
        <v>45984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30674-2025</t>
        </is>
      </c>
      <c r="B378" s="1" t="n">
        <v>45831.51925925926</v>
      </c>
      <c r="C378" s="1" t="n">
        <v>45984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8337-2023</t>
        </is>
      </c>
      <c r="B379" s="1" t="n">
        <v>44975.87836805556</v>
      </c>
      <c r="C379" s="1" t="n">
        <v>45984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21268-2022</t>
        </is>
      </c>
      <c r="B380" s="1" t="n">
        <v>44705.43685185185</v>
      </c>
      <c r="C380" s="1" t="n">
        <v>45984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44412-2025</t>
        </is>
      </c>
      <c r="B381" s="1" t="n">
        <v>45916.54130787037</v>
      </c>
      <c r="C381" s="1" t="n">
        <v>45984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58861-2023</t>
        </is>
      </c>
      <c r="B382" s="1" t="n">
        <v>45252.44798611111</v>
      </c>
      <c r="C382" s="1" t="n">
        <v>45984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37628-2024</t>
        </is>
      </c>
      <c r="B383" s="1" t="n">
        <v>45541.52309027778</v>
      </c>
      <c r="C383" s="1" t="n">
        <v>45984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30511-2025</t>
        </is>
      </c>
      <c r="B384" s="1" t="n">
        <v>45831.30805555556</v>
      </c>
      <c r="C384" s="1" t="n">
        <v>45984</v>
      </c>
      <c r="D384" t="inlineStr">
        <is>
          <t>KALMAR LÄN</t>
        </is>
      </c>
      <c r="E384" t="inlineStr">
        <is>
          <t>HULTSFRED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2507-2023</t>
        </is>
      </c>
      <c r="B385" s="1" t="n">
        <v>44939</v>
      </c>
      <c r="C385" s="1" t="n">
        <v>45984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36278-2023</t>
        </is>
      </c>
      <c r="B386" s="1" t="n">
        <v>45152.34190972222</v>
      </c>
      <c r="C386" s="1" t="n">
        <v>45984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30929-2025</t>
        </is>
      </c>
      <c r="B387" s="1" t="n">
        <v>45831</v>
      </c>
      <c r="C387" s="1" t="n">
        <v>45984</v>
      </c>
      <c r="D387" t="inlineStr">
        <is>
          <t>KALMAR LÄN</t>
        </is>
      </c>
      <c r="E387" t="inlineStr">
        <is>
          <t>HULTSFRED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4257-2024</t>
        </is>
      </c>
      <c r="B388" s="1" t="n">
        <v>45324</v>
      </c>
      <c r="C388" s="1" t="n">
        <v>45984</v>
      </c>
      <c r="D388" t="inlineStr">
        <is>
          <t>KALMAR LÄN</t>
        </is>
      </c>
      <c r="E388" t="inlineStr">
        <is>
          <t>HULTSFRED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HYPERLINK("https://klasma.github.io/Logging_0860/knärot/A 4257-2024 karta knärot.png", "A 4257-2024")</f>
        <v/>
      </c>
      <c r="V388">
        <f>HYPERLINK("https://klasma.github.io/Logging_0860/klagomål/A 4257-2024 FSC-klagomål.docx", "A 4257-2024")</f>
        <v/>
      </c>
      <c r="W388">
        <f>HYPERLINK("https://klasma.github.io/Logging_0860/klagomålsmail/A 4257-2024 FSC-klagomål mail.docx", "A 4257-2024")</f>
        <v/>
      </c>
      <c r="X388">
        <f>HYPERLINK("https://klasma.github.io/Logging_0860/tillsyn/A 4257-2024 tillsynsbegäran.docx", "A 4257-2024")</f>
        <v/>
      </c>
      <c r="Y388">
        <f>HYPERLINK("https://klasma.github.io/Logging_0860/tillsynsmail/A 4257-2024 tillsynsbegäran mail.docx", "A 4257-2024")</f>
        <v/>
      </c>
    </row>
    <row r="389" ht="15" customHeight="1">
      <c r="A389" t="inlineStr">
        <is>
          <t>A 31783-2025</t>
        </is>
      </c>
      <c r="B389" s="1" t="n">
        <v>45834.53106481482</v>
      </c>
      <c r="C389" s="1" t="n">
        <v>45984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43936-2025</t>
        </is>
      </c>
      <c r="B390" s="1" t="n">
        <v>45915.34211805555</v>
      </c>
      <c r="C390" s="1" t="n">
        <v>45984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53257-2025</t>
        </is>
      </c>
      <c r="B391" s="1" t="n">
        <v>45958.67726851852</v>
      </c>
      <c r="C391" s="1" t="n">
        <v>45984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45984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42229-2023</t>
        </is>
      </c>
      <c r="B393" s="1" t="n">
        <v>45180</v>
      </c>
      <c r="C393" s="1" t="n">
        <v>45984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31812-2025</t>
        </is>
      </c>
      <c r="B394" s="1" t="n">
        <v>45834.566875</v>
      </c>
      <c r="C394" s="1" t="n">
        <v>45984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31881-2025</t>
        </is>
      </c>
      <c r="B395" s="1" t="n">
        <v>45834.65643518518</v>
      </c>
      <c r="C395" s="1" t="n">
        <v>45984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31265-2025</t>
        </is>
      </c>
      <c r="B396" s="1" t="n">
        <v>45833.32947916666</v>
      </c>
      <c r="C396" s="1" t="n">
        <v>45984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45984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15636-2025</t>
        </is>
      </c>
      <c r="B398" s="1" t="n">
        <v>45748.37739583333</v>
      </c>
      <c r="C398" s="1" t="n">
        <v>45984</v>
      </c>
      <c r="D398" t="inlineStr">
        <is>
          <t>KALMAR LÄN</t>
        </is>
      </c>
      <c r="E398" t="inlineStr">
        <is>
          <t>HULTSFRED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31461-2025</t>
        </is>
      </c>
      <c r="B399" s="1" t="n">
        <v>45833</v>
      </c>
      <c r="C399" s="1" t="n">
        <v>45984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44399-2025</t>
        </is>
      </c>
      <c r="B400" s="1" t="n">
        <v>45916.50309027778</v>
      </c>
      <c r="C400" s="1" t="n">
        <v>45984</v>
      </c>
      <c r="D400" t="inlineStr">
        <is>
          <t>KALMAR LÄN</t>
        </is>
      </c>
      <c r="E400" t="inlineStr">
        <is>
          <t>HULTSFRED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53367-2025</t>
        </is>
      </c>
      <c r="B401" s="1" t="n">
        <v>45959.48748842593</v>
      </c>
      <c r="C401" s="1" t="n">
        <v>45984</v>
      </c>
      <c r="D401" t="inlineStr">
        <is>
          <t>KALMAR LÄN</t>
        </is>
      </c>
      <c r="E401" t="inlineStr">
        <is>
          <t>HULTSFRED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43259-2024</t>
        </is>
      </c>
      <c r="B402" s="1" t="n">
        <v>45568.35815972222</v>
      </c>
      <c r="C402" s="1" t="n">
        <v>45984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32546-2025</t>
        </is>
      </c>
      <c r="B403" s="1" t="n">
        <v>45838.53700231481</v>
      </c>
      <c r="C403" s="1" t="n">
        <v>45984</v>
      </c>
      <c r="D403" t="inlineStr">
        <is>
          <t>KALMAR LÄN</t>
        </is>
      </c>
      <c r="E403" t="inlineStr">
        <is>
          <t>HULTSFRED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44800-2025</t>
        </is>
      </c>
      <c r="B404" s="1" t="n">
        <v>45918</v>
      </c>
      <c r="C404" s="1" t="n">
        <v>45984</v>
      </c>
      <c r="D404" t="inlineStr">
        <is>
          <t>KALMAR LÄN</t>
        </is>
      </c>
      <c r="E404" t="inlineStr">
        <is>
          <t>HULTSFRED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44806-2025</t>
        </is>
      </c>
      <c r="B405" s="1" t="n">
        <v>45918</v>
      </c>
      <c r="C405" s="1" t="n">
        <v>45984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44799-2025</t>
        </is>
      </c>
      <c r="B406" s="1" t="n">
        <v>45918</v>
      </c>
      <c r="C406" s="1" t="n">
        <v>45984</v>
      </c>
      <c r="D406" t="inlineStr">
        <is>
          <t>KALMAR LÄN</t>
        </is>
      </c>
      <c r="E406" t="inlineStr">
        <is>
          <t>HULTSFRED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53345-2025</t>
        </is>
      </c>
      <c r="B407" s="1" t="n">
        <v>45959.42605324074</v>
      </c>
      <c r="C407" s="1" t="n">
        <v>45984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52693-2023</t>
        </is>
      </c>
      <c r="B408" s="1" t="n">
        <v>45225</v>
      </c>
      <c r="C408" s="1" t="n">
        <v>45984</v>
      </c>
      <c r="D408" t="inlineStr">
        <is>
          <t>KALMAR LÄN</t>
        </is>
      </c>
      <c r="E408" t="inlineStr">
        <is>
          <t>HULTSFRED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11007-2025</t>
        </is>
      </c>
      <c r="B409" s="1" t="n">
        <v>45723.4478125</v>
      </c>
      <c r="C409" s="1" t="n">
        <v>45984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45984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53899-2025</t>
        </is>
      </c>
      <c r="B411" s="1" t="n">
        <v>45961.43260416666</v>
      </c>
      <c r="C411" s="1" t="n">
        <v>45984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53910-2025</t>
        </is>
      </c>
      <c r="B412" s="1" t="n">
        <v>45961.44376157408</v>
      </c>
      <c r="C412" s="1" t="n">
        <v>45984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45984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53905-2025</t>
        </is>
      </c>
      <c r="B414" s="1" t="n">
        <v>45961.43857638889</v>
      </c>
      <c r="C414" s="1" t="n">
        <v>45984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53907-2025</t>
        </is>
      </c>
      <c r="B415" s="1" t="n">
        <v>45961.4405787037</v>
      </c>
      <c r="C415" s="1" t="n">
        <v>45984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53912-2025</t>
        </is>
      </c>
      <c r="B416" s="1" t="n">
        <v>45961.44523148148</v>
      </c>
      <c r="C416" s="1" t="n">
        <v>45984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53900-2025</t>
        </is>
      </c>
      <c r="B417" s="1" t="n">
        <v>45961.43423611111</v>
      </c>
      <c r="C417" s="1" t="n">
        <v>45984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53914-2025</t>
        </is>
      </c>
      <c r="B418" s="1" t="n">
        <v>45961.44804398148</v>
      </c>
      <c r="C418" s="1" t="n">
        <v>45984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8930-2022</t>
        </is>
      </c>
      <c r="B419" s="1" t="n">
        <v>44614</v>
      </c>
      <c r="C419" s="1" t="n">
        <v>45984</v>
      </c>
      <c r="D419" t="inlineStr">
        <is>
          <t>KALMAR LÄN</t>
        </is>
      </c>
      <c r="E419" t="inlineStr">
        <is>
          <t>HULTSFRED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33958-2025</t>
        </is>
      </c>
      <c r="B420" s="1" t="n">
        <v>45842.68381944444</v>
      </c>
      <c r="C420" s="1" t="n">
        <v>45984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11645-2023</t>
        </is>
      </c>
      <c r="B421" s="1" t="n">
        <v>44994.45324074074</v>
      </c>
      <c r="C421" s="1" t="n">
        <v>45984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53901-2025</t>
        </is>
      </c>
      <c r="B422" s="1" t="n">
        <v>45961.43681712963</v>
      </c>
      <c r="C422" s="1" t="n">
        <v>45984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53908-2025</t>
        </is>
      </c>
      <c r="B423" s="1" t="n">
        <v>45961.44221064815</v>
      </c>
      <c r="C423" s="1" t="n">
        <v>45984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44256-2024</t>
        </is>
      </c>
      <c r="B424" s="1" t="n">
        <v>45573.45638888889</v>
      </c>
      <c r="C424" s="1" t="n">
        <v>45984</v>
      </c>
      <c r="D424" t="inlineStr">
        <is>
          <t>KALMAR LÄN</t>
        </is>
      </c>
      <c r="E424" t="inlineStr">
        <is>
          <t>HULTSFRED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33990-2025</t>
        </is>
      </c>
      <c r="B425" s="1" t="n">
        <v>45843.54559027778</v>
      </c>
      <c r="C425" s="1" t="n">
        <v>45984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45984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45824-2025</t>
        </is>
      </c>
      <c r="B427" s="1" t="n">
        <v>45923.5996875</v>
      </c>
      <c r="C427" s="1" t="n">
        <v>45984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45834-2025</t>
        </is>
      </c>
      <c r="B428" s="1" t="n">
        <v>45923.60820601852</v>
      </c>
      <c r="C428" s="1" t="n">
        <v>45984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45807-2025</t>
        </is>
      </c>
      <c r="B429" s="1" t="n">
        <v>45923.58434027778</v>
      </c>
      <c r="C429" s="1" t="n">
        <v>45984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45808-2025</t>
        </is>
      </c>
      <c r="B430" s="1" t="n">
        <v>45923.58523148148</v>
      </c>
      <c r="C430" s="1" t="n">
        <v>45984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45822-2025</t>
        </is>
      </c>
      <c r="B431" s="1" t="n">
        <v>45923.5972337963</v>
      </c>
      <c r="C431" s="1" t="n">
        <v>45984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34201-2025</t>
        </is>
      </c>
      <c r="B432" s="1" t="n">
        <v>45845.63357638889</v>
      </c>
      <c r="C432" s="1" t="n">
        <v>45984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45816-2025</t>
        </is>
      </c>
      <c r="B433" s="1" t="n">
        <v>45923.59324074074</v>
      </c>
      <c r="C433" s="1" t="n">
        <v>45984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45842-2025</t>
        </is>
      </c>
      <c r="B434" s="1" t="n">
        <v>45923.61527777778</v>
      </c>
      <c r="C434" s="1" t="n">
        <v>45984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45848-2025</t>
        </is>
      </c>
      <c r="B435" s="1" t="n">
        <v>45923.61694444445</v>
      </c>
      <c r="C435" s="1" t="n">
        <v>45984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45829-2025</t>
        </is>
      </c>
      <c r="B436" s="1" t="n">
        <v>45923.60203703704</v>
      </c>
      <c r="C436" s="1" t="n">
        <v>45984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45831-2025</t>
        </is>
      </c>
      <c r="B437" s="1" t="n">
        <v>45923.60518518519</v>
      </c>
      <c r="C437" s="1" t="n">
        <v>45984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45934-2025</t>
        </is>
      </c>
      <c r="B438" s="1" t="n">
        <v>45923.90313657407</v>
      </c>
      <c r="C438" s="1" t="n">
        <v>45984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6235-2021</t>
        </is>
      </c>
      <c r="B439" s="1" t="n">
        <v>44235.39321759259</v>
      </c>
      <c r="C439" s="1" t="n">
        <v>45984</v>
      </c>
      <c r="D439" t="inlineStr">
        <is>
          <t>KALMAR LÄN</t>
        </is>
      </c>
      <c r="E439" t="inlineStr">
        <is>
          <t>HULTSFRED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41976-2022</t>
        </is>
      </c>
      <c r="B440" s="1" t="n">
        <v>44830.4331712963</v>
      </c>
      <c r="C440" s="1" t="n">
        <v>45984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45984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46032-2025</t>
        </is>
      </c>
      <c r="B442" s="1" t="n">
        <v>45924.44417824074</v>
      </c>
      <c r="C442" s="1" t="n">
        <v>45984</v>
      </c>
      <c r="D442" t="inlineStr">
        <is>
          <t>KALMAR LÄN</t>
        </is>
      </c>
      <c r="E442" t="inlineStr">
        <is>
          <t>HULTSFRED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9326-2025</t>
        </is>
      </c>
      <c r="B443" s="1" t="n">
        <v>45714.74789351852</v>
      </c>
      <c r="C443" s="1" t="n">
        <v>45984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46026-2025</t>
        </is>
      </c>
      <c r="B444" s="1" t="n">
        <v>45924.43762731482</v>
      </c>
      <c r="C444" s="1" t="n">
        <v>45984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54307-2025</t>
        </is>
      </c>
      <c r="B445" s="1" t="n">
        <v>45965.30561342592</v>
      </c>
      <c r="C445" s="1" t="n">
        <v>45984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12166-2023</t>
        </is>
      </c>
      <c r="B446" s="1" t="n">
        <v>44998.50371527778</v>
      </c>
      <c r="C446" s="1" t="n">
        <v>45984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45839-2025</t>
        </is>
      </c>
      <c r="B447" s="1" t="n">
        <v>45923.61215277778</v>
      </c>
      <c r="C447" s="1" t="n">
        <v>45984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45860-2025</t>
        </is>
      </c>
      <c r="B448" s="1" t="n">
        <v>45923.64208333333</v>
      </c>
      <c r="C448" s="1" t="n">
        <v>45984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45865-2025</t>
        </is>
      </c>
      <c r="B449" s="1" t="n">
        <v>45923.64613425926</v>
      </c>
      <c r="C449" s="1" t="n">
        <v>45984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54308-2025</t>
        </is>
      </c>
      <c r="B450" s="1" t="n">
        <v>45965.30861111111</v>
      </c>
      <c r="C450" s="1" t="n">
        <v>45984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54731-2025</t>
        </is>
      </c>
      <c r="B451" s="1" t="n">
        <v>45966.56153935185</v>
      </c>
      <c r="C451" s="1" t="n">
        <v>45984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45867-2025</t>
        </is>
      </c>
      <c r="B452" s="1" t="n">
        <v>45923.64820601852</v>
      </c>
      <c r="C452" s="1" t="n">
        <v>45984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45727-2025</t>
        </is>
      </c>
      <c r="B453" s="1" t="n">
        <v>45923.45716435185</v>
      </c>
      <c r="C453" s="1" t="n">
        <v>45984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1770-2024</t>
        </is>
      </c>
      <c r="B454" s="1" t="n">
        <v>45307</v>
      </c>
      <c r="C454" s="1" t="n">
        <v>45984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11433-2024</t>
        </is>
      </c>
      <c r="B455" s="1" t="n">
        <v>45372.51892361111</v>
      </c>
      <c r="C455" s="1" t="n">
        <v>45984</v>
      </c>
      <c r="D455" t="inlineStr">
        <is>
          <t>KALMAR LÄN</t>
        </is>
      </c>
      <c r="E455" t="inlineStr">
        <is>
          <t>HULTSFRED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35176-2025</t>
        </is>
      </c>
      <c r="B456" s="1" t="n">
        <v>45852.91319444445</v>
      </c>
      <c r="C456" s="1" t="n">
        <v>45984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24341-2023</t>
        </is>
      </c>
      <c r="B457" s="1" t="n">
        <v>45081.91804398148</v>
      </c>
      <c r="C457" s="1" t="n">
        <v>45984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52880-2024</t>
        </is>
      </c>
      <c r="B458" s="1" t="n">
        <v>45610.63998842592</v>
      </c>
      <c r="C458" s="1" t="n">
        <v>45984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3999-2023</t>
        </is>
      </c>
      <c r="B459" s="1" t="n">
        <v>44952.49959490741</v>
      </c>
      <c r="C459" s="1" t="n">
        <v>45984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46439-2025</t>
        </is>
      </c>
      <c r="B460" s="1" t="n">
        <v>45925.64199074074</v>
      </c>
      <c r="C460" s="1" t="n">
        <v>45984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46563-2025</t>
        </is>
      </c>
      <c r="B461" s="1" t="n">
        <v>45926.35856481481</v>
      </c>
      <c r="C461" s="1" t="n">
        <v>45984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40326-2023</t>
        </is>
      </c>
      <c r="B462" s="1" t="n">
        <v>45169.61795138889</v>
      </c>
      <c r="C462" s="1" t="n">
        <v>45984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12394-2023</t>
        </is>
      </c>
      <c r="B463" s="1" t="n">
        <v>44999</v>
      </c>
      <c r="C463" s="1" t="n">
        <v>45984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32770-2021</t>
        </is>
      </c>
      <c r="B464" s="1" t="n">
        <v>44375</v>
      </c>
      <c r="C464" s="1" t="n">
        <v>45984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42567-2022</t>
        </is>
      </c>
      <c r="B465" s="1" t="n">
        <v>44831.66966435185</v>
      </c>
      <c r="C465" s="1" t="n">
        <v>45984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46443-2025</t>
        </is>
      </c>
      <c r="B466" s="1" t="n">
        <v>45925.64373842593</v>
      </c>
      <c r="C466" s="1" t="n">
        <v>45984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46446-2025</t>
        </is>
      </c>
      <c r="B467" s="1" t="n">
        <v>45925.6472337963</v>
      </c>
      <c r="C467" s="1" t="n">
        <v>45984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46448-2025</t>
        </is>
      </c>
      <c r="B468" s="1" t="n">
        <v>45925.64988425926</v>
      </c>
      <c r="C468" s="1" t="n">
        <v>45984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46449-2025</t>
        </is>
      </c>
      <c r="B469" s="1" t="n">
        <v>45925.65148148148</v>
      </c>
      <c r="C469" s="1" t="n">
        <v>45984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7336-2025</t>
        </is>
      </c>
      <c r="B470" s="1" t="n">
        <v>45703.40883101852</v>
      </c>
      <c r="C470" s="1" t="n">
        <v>45984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46444-2025</t>
        </is>
      </c>
      <c r="B471" s="1" t="n">
        <v>45925.64577546297</v>
      </c>
      <c r="C471" s="1" t="n">
        <v>45984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14599-2022</t>
        </is>
      </c>
      <c r="B472" s="1" t="n">
        <v>44655</v>
      </c>
      <c r="C472" s="1" t="n">
        <v>45984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47040-2025</t>
        </is>
      </c>
      <c r="B473" s="1" t="n">
        <v>45929.59570601852</v>
      </c>
      <c r="C473" s="1" t="n">
        <v>45984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47042-2025</t>
        </is>
      </c>
      <c r="B474" s="1" t="n">
        <v>45929.60078703704</v>
      </c>
      <c r="C474" s="1" t="n">
        <v>45984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60101-2024</t>
        </is>
      </c>
      <c r="B475" s="1" t="n">
        <v>45642.5578125</v>
      </c>
      <c r="C475" s="1" t="n">
        <v>45984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55108-2024</t>
        </is>
      </c>
      <c r="B476" s="1" t="n">
        <v>45621.44763888889</v>
      </c>
      <c r="C476" s="1" t="n">
        <v>45984</v>
      </c>
      <c r="D476" t="inlineStr">
        <is>
          <t>KALMAR LÄN</t>
        </is>
      </c>
      <c r="E476" t="inlineStr">
        <is>
          <t>HULTSFRED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15130-2023</t>
        </is>
      </c>
      <c r="B477" s="1" t="n">
        <v>45016.51652777778</v>
      </c>
      <c r="C477" s="1" t="n">
        <v>45984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55611-2025</t>
        </is>
      </c>
      <c r="B478" s="1" t="n">
        <v>45971.81769675926</v>
      </c>
      <c r="C478" s="1" t="n">
        <v>45984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27527-2025</t>
        </is>
      </c>
      <c r="B479" s="1" t="n">
        <v>45813.44929398148</v>
      </c>
      <c r="C479" s="1" t="n">
        <v>45984</v>
      </c>
      <c r="D479" t="inlineStr">
        <is>
          <t>KALMAR LÄN</t>
        </is>
      </c>
      <c r="E479" t="inlineStr">
        <is>
          <t>HULTSFRED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47064-2025</t>
        </is>
      </c>
      <c r="B480" s="1" t="n">
        <v>45929.63125</v>
      </c>
      <c r="C480" s="1" t="n">
        <v>45984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47033-2025</t>
        </is>
      </c>
      <c r="B481" s="1" t="n">
        <v>45929.59108796297</v>
      </c>
      <c r="C481" s="1" t="n">
        <v>45984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45984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40330-2023</t>
        </is>
      </c>
      <c r="B483" s="1" t="n">
        <v>45169.62340277778</v>
      </c>
      <c r="C483" s="1" t="n">
        <v>45984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45984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9387-2023</t>
        </is>
      </c>
      <c r="B485" s="1" t="n">
        <v>44981.40186342593</v>
      </c>
      <c r="C485" s="1" t="n">
        <v>45984</v>
      </c>
      <c r="D485" t="inlineStr">
        <is>
          <t>KALMAR LÄN</t>
        </is>
      </c>
      <c r="E485" t="inlineStr">
        <is>
          <t>HULTSFRED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45984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55610-2025</t>
        </is>
      </c>
      <c r="B487" s="1" t="n">
        <v>45971.81322916667</v>
      </c>
      <c r="C487" s="1" t="n">
        <v>45984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11938-2023</t>
        </is>
      </c>
      <c r="B488" s="1" t="n">
        <v>44995</v>
      </c>
      <c r="C488" s="1" t="n">
        <v>45984</v>
      </c>
      <c r="D488" t="inlineStr">
        <is>
          <t>KALMAR LÄN</t>
        </is>
      </c>
      <c r="E488" t="inlineStr">
        <is>
          <t>HULTSFRED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47041-2025</t>
        </is>
      </c>
      <c r="B489" s="1" t="n">
        <v>45929.59836805556</v>
      </c>
      <c r="C489" s="1" t="n">
        <v>45984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47045-2025</t>
        </is>
      </c>
      <c r="B490" s="1" t="n">
        <v>45929.60376157407</v>
      </c>
      <c r="C490" s="1" t="n">
        <v>45984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19072-2023</t>
        </is>
      </c>
      <c r="B491" s="1" t="n">
        <v>45048.37384259259</v>
      </c>
      <c r="C491" s="1" t="n">
        <v>45984</v>
      </c>
      <c r="D491" t="inlineStr">
        <is>
          <t>KALMAR LÄN</t>
        </is>
      </c>
      <c r="E491" t="inlineStr">
        <is>
          <t>HULTSFRED</t>
        </is>
      </c>
      <c r="G491" t="n">
        <v>23.7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55614-2025</t>
        </is>
      </c>
      <c r="B492" s="1" t="n">
        <v>45971.83403935185</v>
      </c>
      <c r="C492" s="1" t="n">
        <v>45984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61509-2024</t>
        </is>
      </c>
      <c r="B493" s="1" t="n">
        <v>45646.56480324074</v>
      </c>
      <c r="C493" s="1" t="n">
        <v>45984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55501-2023</t>
        </is>
      </c>
      <c r="B494" s="1" t="n">
        <v>45238</v>
      </c>
      <c r="C494" s="1" t="n">
        <v>45984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590-2025</t>
        </is>
      </c>
      <c r="B495" s="1" t="n">
        <v>45660</v>
      </c>
      <c r="C495" s="1" t="n">
        <v>45984</v>
      </c>
      <c r="D495" t="inlineStr">
        <is>
          <t>KALMAR LÄN</t>
        </is>
      </c>
      <c r="E495" t="inlineStr">
        <is>
          <t>HULTSFRED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47726-2025</t>
        </is>
      </c>
      <c r="B496" s="1" t="n">
        <v>45931.63143518518</v>
      </c>
      <c r="C496" s="1" t="n">
        <v>45984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47731-2025</t>
        </is>
      </c>
      <c r="B497" s="1" t="n">
        <v>45931.63373842592</v>
      </c>
      <c r="C497" s="1" t="n">
        <v>45984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55971-2025</t>
        </is>
      </c>
      <c r="B498" s="1" t="n">
        <v>45973.49765046296</v>
      </c>
      <c r="C498" s="1" t="n">
        <v>45984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32118-2024</t>
        </is>
      </c>
      <c r="B499" s="1" t="n">
        <v>45511.45795138889</v>
      </c>
      <c r="C499" s="1" t="n">
        <v>45984</v>
      </c>
      <c r="D499" t="inlineStr">
        <is>
          <t>KALMAR LÄN</t>
        </is>
      </c>
      <c r="E499" t="inlineStr">
        <is>
          <t>HULTSFRED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45984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12390-2023</t>
        </is>
      </c>
      <c r="B501" s="1" t="n">
        <v>44999.48005787037</v>
      </c>
      <c r="C501" s="1" t="n">
        <v>45984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23847-2024</t>
        </is>
      </c>
      <c r="B502" s="1" t="n">
        <v>45455.53951388889</v>
      </c>
      <c r="C502" s="1" t="n">
        <v>45984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54348-2025</t>
        </is>
      </c>
      <c r="B503" s="1" t="n">
        <v>45964</v>
      </c>
      <c r="C503" s="1" t="n">
        <v>45984</v>
      </c>
      <c r="D503" t="inlineStr">
        <is>
          <t>KALMAR LÄN</t>
        </is>
      </c>
      <c r="E503" t="inlineStr">
        <is>
          <t>HULTSFRED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47848-2025</t>
        </is>
      </c>
      <c r="B504" s="1" t="n">
        <v>45932.38508101852</v>
      </c>
      <c r="C504" s="1" t="n">
        <v>45984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47721-2025</t>
        </is>
      </c>
      <c r="B505" s="1" t="n">
        <v>45931.62912037037</v>
      </c>
      <c r="C505" s="1" t="n">
        <v>45984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43560-2023</t>
        </is>
      </c>
      <c r="B506" s="1" t="n">
        <v>45184</v>
      </c>
      <c r="C506" s="1" t="n">
        <v>45984</v>
      </c>
      <c r="D506" t="inlineStr">
        <is>
          <t>KALMAR LÄN</t>
        </is>
      </c>
      <c r="E506" t="inlineStr">
        <is>
          <t>HULTSFRED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43632-2023</t>
        </is>
      </c>
      <c r="B507" s="1" t="n">
        <v>45185</v>
      </c>
      <c r="C507" s="1" t="n">
        <v>45984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68102-2021</t>
        </is>
      </c>
      <c r="B508" s="1" t="n">
        <v>44526.36217592593</v>
      </c>
      <c r="C508" s="1" t="n">
        <v>45984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55609-2025</t>
        </is>
      </c>
      <c r="B509" s="1" t="n">
        <v>45971</v>
      </c>
      <c r="C509" s="1" t="n">
        <v>45984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30005-2025</t>
        </is>
      </c>
      <c r="B510" s="1" t="n">
        <v>45826.52912037037</v>
      </c>
      <c r="C510" s="1" t="n">
        <v>45984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37916-2022</t>
        </is>
      </c>
      <c r="B511" s="1" t="n">
        <v>44811.44258101852</v>
      </c>
      <c r="C511" s="1" t="n">
        <v>45984</v>
      </c>
      <c r="D511" t="inlineStr">
        <is>
          <t>KALMAR LÄN</t>
        </is>
      </c>
      <c r="E511" t="inlineStr">
        <is>
          <t>HULTSFRED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10998-2025</t>
        </is>
      </c>
      <c r="B512" s="1" t="n">
        <v>45723.44018518519</v>
      </c>
      <c r="C512" s="1" t="n">
        <v>45984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56480-2025</t>
        </is>
      </c>
      <c r="B513" s="1" t="n">
        <v>45975.39666666667</v>
      </c>
      <c r="C513" s="1" t="n">
        <v>45984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37731-2025</t>
        </is>
      </c>
      <c r="B514" s="1" t="n">
        <v>45880.63050925926</v>
      </c>
      <c r="C514" s="1" t="n">
        <v>45984</v>
      </c>
      <c r="D514" t="inlineStr">
        <is>
          <t>KALMAR LÄN</t>
        </is>
      </c>
      <c r="E514" t="inlineStr">
        <is>
          <t>HULTSFRED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36187-2023</t>
        </is>
      </c>
      <c r="B515" s="1" t="n">
        <v>45149</v>
      </c>
      <c r="C515" s="1" t="n">
        <v>45984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35177-2025</t>
        </is>
      </c>
      <c r="B516" s="1" t="n">
        <v>45852.91453703704</v>
      </c>
      <c r="C516" s="1" t="n">
        <v>45984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48693-2025</t>
        </is>
      </c>
      <c r="B517" s="1" t="n">
        <v>45936.61366898148</v>
      </c>
      <c r="C517" s="1" t="n">
        <v>45984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48731-2025</t>
        </is>
      </c>
      <c r="B518" s="1" t="n">
        <v>45936.66126157407</v>
      </c>
      <c r="C518" s="1" t="n">
        <v>45984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8876-2025</t>
        </is>
      </c>
      <c r="B519" s="1" t="n">
        <v>45713.37621527778</v>
      </c>
      <c r="C519" s="1" t="n">
        <v>45984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31421-2024</t>
        </is>
      </c>
      <c r="B520" s="1" t="n">
        <v>45505</v>
      </c>
      <c r="C520" s="1" t="n">
        <v>45984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31422-2024</t>
        </is>
      </c>
      <c r="B521" s="1" t="n">
        <v>45505</v>
      </c>
      <c r="C521" s="1" t="n">
        <v>45984</v>
      </c>
      <c r="D521" t="inlineStr">
        <is>
          <t>KALMAR LÄN</t>
        </is>
      </c>
      <c r="E521" t="inlineStr">
        <is>
          <t>HULTSFRED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37941-2025</t>
        </is>
      </c>
      <c r="B522" s="1" t="n">
        <v>45881.60173611111</v>
      </c>
      <c r="C522" s="1" t="n">
        <v>45984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48686-2025</t>
        </is>
      </c>
      <c r="B523" s="1" t="n">
        <v>45936.60224537037</v>
      </c>
      <c r="C523" s="1" t="n">
        <v>45984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48698-2025</t>
        </is>
      </c>
      <c r="B524" s="1" t="n">
        <v>45936.61630787037</v>
      </c>
      <c r="C524" s="1" t="n">
        <v>45984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62070-2024</t>
        </is>
      </c>
      <c r="B525" s="1" t="n">
        <v>45656.40385416667</v>
      </c>
      <c r="C525" s="1" t="n">
        <v>45984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32497-2021</t>
        </is>
      </c>
      <c r="B526" s="1" t="n">
        <v>44373</v>
      </c>
      <c r="C526" s="1" t="n">
        <v>45984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38651-2025</t>
        </is>
      </c>
      <c r="B527" s="1" t="n">
        <v>45884.5909375</v>
      </c>
      <c r="C527" s="1" t="n">
        <v>45984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41694-2022</t>
        </is>
      </c>
      <c r="B528" s="1" t="n">
        <v>44827</v>
      </c>
      <c r="C528" s="1" t="n">
        <v>45984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10966-2023</t>
        </is>
      </c>
      <c r="B529" s="1" t="n">
        <v>44991.57855324074</v>
      </c>
      <c r="C529" s="1" t="n">
        <v>45984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21758-2024</t>
        </is>
      </c>
      <c r="B530" s="1" t="n">
        <v>45442.59461805555</v>
      </c>
      <c r="C530" s="1" t="n">
        <v>45984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52691-2023</t>
        </is>
      </c>
      <c r="B531" s="1" t="n">
        <v>45225.76035879629</v>
      </c>
      <c r="C531" s="1" t="n">
        <v>45984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38568-2025</t>
        </is>
      </c>
      <c r="B532" s="1" t="n">
        <v>45884.45627314815</v>
      </c>
      <c r="C532" s="1" t="n">
        <v>45984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7348-2023</t>
        </is>
      </c>
      <c r="B533" s="1" t="n">
        <v>44971.36787037037</v>
      </c>
      <c r="C533" s="1" t="n">
        <v>45984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48806-2025</t>
        </is>
      </c>
      <c r="B534" s="1" t="n">
        <v>45937.35290509259</v>
      </c>
      <c r="C534" s="1" t="n">
        <v>45984</v>
      </c>
      <c r="D534" t="inlineStr">
        <is>
          <t>KALMAR LÄN</t>
        </is>
      </c>
      <c r="E534" t="inlineStr">
        <is>
          <t>HULTSFRED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45984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57103-2025</t>
        </is>
      </c>
      <c r="B536" s="1" t="n">
        <v>45979</v>
      </c>
      <c r="C536" s="1" t="n">
        <v>45984</v>
      </c>
      <c r="D536" t="inlineStr">
        <is>
          <t>KALMAR LÄN</t>
        </is>
      </c>
      <c r="E536" t="inlineStr">
        <is>
          <t>HULTSFRED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48811-2025</t>
        </is>
      </c>
      <c r="B537" s="1" t="n">
        <v>45937.3575462963</v>
      </c>
      <c r="C537" s="1" t="n">
        <v>45984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45984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13864-2024</t>
        </is>
      </c>
      <c r="B539" s="1" t="n">
        <v>45390</v>
      </c>
      <c r="C539" s="1" t="n">
        <v>45984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13974-2023</t>
        </is>
      </c>
      <c r="B540" s="1" t="n">
        <v>45008.48836805556</v>
      </c>
      <c r="C540" s="1" t="n">
        <v>45984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28666-2023</t>
        </is>
      </c>
      <c r="B541" s="1" t="n">
        <v>45103</v>
      </c>
      <c r="C541" s="1" t="n">
        <v>45984</v>
      </c>
      <c r="D541" t="inlineStr">
        <is>
          <t>KALMAR LÄN</t>
        </is>
      </c>
      <c r="E541" t="inlineStr">
        <is>
          <t>HULTSFRED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39941-2023</t>
        </is>
      </c>
      <c r="B542" s="1" t="n">
        <v>45168</v>
      </c>
      <c r="C542" s="1" t="n">
        <v>45984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39977-2023</t>
        </is>
      </c>
      <c r="B543" s="1" t="n">
        <v>45168</v>
      </c>
      <c r="C543" s="1" t="n">
        <v>45984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57546-2025</t>
        </is>
      </c>
      <c r="B544" s="1" t="n">
        <v>45980.65592592592</v>
      </c>
      <c r="C544" s="1" t="n">
        <v>45984</v>
      </c>
      <c r="D544" t="inlineStr">
        <is>
          <t>KALMAR LÄN</t>
        </is>
      </c>
      <c r="E544" t="inlineStr">
        <is>
          <t>HULTSFRED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4223-2025</t>
        </is>
      </c>
      <c r="B545" s="1" t="n">
        <v>45685.52724537037</v>
      </c>
      <c r="C545" s="1" t="n">
        <v>45984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26308-2023</t>
        </is>
      </c>
      <c r="B546" s="1" t="n">
        <v>45091.65386574074</v>
      </c>
      <c r="C546" s="1" t="n">
        <v>45984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9488-2025</t>
        </is>
      </c>
      <c r="B547" s="1" t="n">
        <v>45715.49478009259</v>
      </c>
      <c r="C547" s="1" t="n">
        <v>45984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9328-2025</t>
        </is>
      </c>
      <c r="B548" s="1" t="n">
        <v>45714.74952546296</v>
      </c>
      <c r="C548" s="1" t="n">
        <v>45984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1033-2023</t>
        </is>
      </c>
      <c r="B549" s="1" t="n">
        <v>44935</v>
      </c>
      <c r="C549" s="1" t="n">
        <v>45984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49881-2025</t>
        </is>
      </c>
      <c r="B550" s="1" t="n">
        <v>45940.56796296296</v>
      </c>
      <c r="C550" s="1" t="n">
        <v>45984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45047-2023</t>
        </is>
      </c>
      <c r="B551" s="1" t="n">
        <v>45191.34582175926</v>
      </c>
      <c r="C551" s="1" t="n">
        <v>45984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2776-2025</t>
        </is>
      </c>
      <c r="B552" s="1" t="n">
        <v>45677</v>
      </c>
      <c r="C552" s="1" t="n">
        <v>45984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58010-2025</t>
        </is>
      </c>
      <c r="B553" s="1" t="n">
        <v>45982.45975694444</v>
      </c>
      <c r="C553" s="1" t="n">
        <v>45984</v>
      </c>
      <c r="D553" t="inlineStr">
        <is>
          <t>KALMAR LÄN</t>
        </is>
      </c>
      <c r="E553" t="inlineStr">
        <is>
          <t>HULTSFRED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58026-2025</t>
        </is>
      </c>
      <c r="B554" s="1" t="n">
        <v>45982.48302083334</v>
      </c>
      <c r="C554" s="1" t="n">
        <v>45984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50341-2023</t>
        </is>
      </c>
      <c r="B555" s="1" t="n">
        <v>45216</v>
      </c>
      <c r="C555" s="1" t="n">
        <v>45984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14658-2025</t>
        </is>
      </c>
      <c r="B556" s="1" t="n">
        <v>45742.52042824074</v>
      </c>
      <c r="C556" s="1" t="n">
        <v>45984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56919-2022</t>
        </is>
      </c>
      <c r="B557" s="1" t="n">
        <v>44894</v>
      </c>
      <c r="C557" s="1" t="n">
        <v>45984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58055-2025</t>
        </is>
      </c>
      <c r="B558" s="1" t="n">
        <v>45982.52304398148</v>
      </c>
      <c r="C558" s="1" t="n">
        <v>45984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49481-2025</t>
        </is>
      </c>
      <c r="B559" s="1" t="n">
        <v>45939.35864583333</v>
      </c>
      <c r="C559" s="1" t="n">
        <v>45984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45984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42546-2025</t>
        </is>
      </c>
      <c r="B561" s="1" t="n">
        <v>45905</v>
      </c>
      <c r="C561" s="1" t="n">
        <v>45984</v>
      </c>
      <c r="D561" t="inlineStr">
        <is>
          <t>KALMAR LÄN</t>
        </is>
      </c>
      <c r="E561" t="inlineStr">
        <is>
          <t>HULTSFRED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58043-2025</t>
        </is>
      </c>
      <c r="B562" s="1" t="n">
        <v>45982.50164351852</v>
      </c>
      <c r="C562" s="1" t="n">
        <v>45984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16877-2025</t>
        </is>
      </c>
      <c r="B563" s="1" t="n">
        <v>45755.29065972222</v>
      </c>
      <c r="C563" s="1" t="n">
        <v>45984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16888-2025</t>
        </is>
      </c>
      <c r="B564" s="1" t="n">
        <v>45755.30921296297</v>
      </c>
      <c r="C564" s="1" t="n">
        <v>45984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16889-2025</t>
        </is>
      </c>
      <c r="B565" s="1" t="n">
        <v>45755.31265046296</v>
      </c>
      <c r="C565" s="1" t="n">
        <v>45984</v>
      </c>
      <c r="D565" t="inlineStr">
        <is>
          <t>KALMAR LÄN</t>
        </is>
      </c>
      <c r="E565" t="inlineStr">
        <is>
          <t>HULTSFRED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46341-2023</t>
        </is>
      </c>
      <c r="B566" s="1" t="n">
        <v>45197.40341435185</v>
      </c>
      <c r="C566" s="1" t="n">
        <v>45984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46411-2023</t>
        </is>
      </c>
      <c r="B567" s="1" t="n">
        <v>45194</v>
      </c>
      <c r="C567" s="1" t="n">
        <v>45984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35816-2024</t>
        </is>
      </c>
      <c r="B568" s="1" t="n">
        <v>45532.65594907408</v>
      </c>
      <c r="C568" s="1" t="n">
        <v>45984</v>
      </c>
      <c r="D568" t="inlineStr">
        <is>
          <t>KALMAR LÄN</t>
        </is>
      </c>
      <c r="E568" t="inlineStr">
        <is>
          <t>HULTSFRED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4965-2025</t>
        </is>
      </c>
      <c r="B569" s="1" t="n">
        <v>45690.4284375</v>
      </c>
      <c r="C569" s="1" t="n">
        <v>45984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19185-2023</t>
        </is>
      </c>
      <c r="B570" s="1" t="n">
        <v>45048</v>
      </c>
      <c r="C570" s="1" t="n">
        <v>45984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22645-2023</t>
        </is>
      </c>
      <c r="B571" s="1" t="n">
        <v>45071</v>
      </c>
      <c r="C571" s="1" t="n">
        <v>45984</v>
      </c>
      <c r="D571" t="inlineStr">
        <is>
          <t>KALMAR LÄN</t>
        </is>
      </c>
      <c r="E571" t="inlineStr">
        <is>
          <t>HULTSFRED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50894-2023</t>
        </is>
      </c>
      <c r="B572" s="1" t="n">
        <v>45218.40142361111</v>
      </c>
      <c r="C572" s="1" t="n">
        <v>45984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58094-2023</t>
        </is>
      </c>
      <c r="B573" s="1" t="n">
        <v>45248</v>
      </c>
      <c r="C573" s="1" t="n">
        <v>45984</v>
      </c>
      <c r="D573" t="inlineStr">
        <is>
          <t>KALMAR LÄN</t>
        </is>
      </c>
      <c r="E573" t="inlineStr">
        <is>
          <t>HULTSFRED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15236-2023</t>
        </is>
      </c>
      <c r="B574" s="1" t="n">
        <v>45019.36079861111</v>
      </c>
      <c r="C574" s="1" t="n">
        <v>45984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15244-2023</t>
        </is>
      </c>
      <c r="B575" s="1" t="n">
        <v>45019.37908564815</v>
      </c>
      <c r="C575" s="1" t="n">
        <v>45984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13449-2025</t>
        </is>
      </c>
      <c r="B576" s="1" t="n">
        <v>45736</v>
      </c>
      <c r="C576" s="1" t="n">
        <v>45984</v>
      </c>
      <c r="D576" t="inlineStr">
        <is>
          <t>KALMAR LÄN</t>
        </is>
      </c>
      <c r="E576" t="inlineStr">
        <is>
          <t>HULTSFRED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47350-2021</t>
        </is>
      </c>
      <c r="B577" s="1" t="n">
        <v>44447</v>
      </c>
      <c r="C577" s="1" t="n">
        <v>45984</v>
      </c>
      <c r="D577" t="inlineStr">
        <is>
          <t>KALMAR LÄN</t>
        </is>
      </c>
      <c r="E577" t="inlineStr">
        <is>
          <t>HULTSFRED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30386-2023</t>
        </is>
      </c>
      <c r="B578" s="1" t="n">
        <v>45099</v>
      </c>
      <c r="C578" s="1" t="n">
        <v>45984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10995-2025</t>
        </is>
      </c>
      <c r="B579" s="1" t="n">
        <v>45723.43553240741</v>
      </c>
      <c r="C579" s="1" t="n">
        <v>45984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45984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211-2022</t>
        </is>
      </c>
      <c r="B581" s="1" t="n">
        <v>44564.80535879629</v>
      </c>
      <c r="C581" s="1" t="n">
        <v>45984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18274-2022</t>
        </is>
      </c>
      <c r="B582" s="1" t="n">
        <v>44685.48431712963</v>
      </c>
      <c r="C582" s="1" t="n">
        <v>45984</v>
      </c>
      <c r="D582" t="inlineStr">
        <is>
          <t>KALMAR LÄN</t>
        </is>
      </c>
      <c r="E582" t="inlineStr">
        <is>
          <t>HULTSFRED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4944-2022</t>
        </is>
      </c>
      <c r="B583" s="1" t="n">
        <v>44593</v>
      </c>
      <c r="C583" s="1" t="n">
        <v>45984</v>
      </c>
      <c r="D583" t="inlineStr">
        <is>
          <t>KALMAR LÄN</t>
        </is>
      </c>
      <c r="E583" t="inlineStr">
        <is>
          <t>HULTSFRED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14539-2023</t>
        </is>
      </c>
      <c r="B584" s="1" t="n">
        <v>45013.3293287037</v>
      </c>
      <c r="C584" s="1" t="n">
        <v>45984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115-2023</t>
        </is>
      </c>
      <c r="B585" s="1" t="n">
        <v>44928.49331018519</v>
      </c>
      <c r="C585" s="1" t="n">
        <v>45984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59467-2024</t>
        </is>
      </c>
      <c r="B586" s="1" t="n">
        <v>45638.49185185185</v>
      </c>
      <c r="C586" s="1" t="n">
        <v>45984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25878-2024</t>
        </is>
      </c>
      <c r="B587" s="1" t="n">
        <v>45467.48708333333</v>
      </c>
      <c r="C587" s="1" t="n">
        <v>45984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13862-2024</t>
        </is>
      </c>
      <c r="B588" s="1" t="n">
        <v>45390</v>
      </c>
      <c r="C588" s="1" t="n">
        <v>45984</v>
      </c>
      <c r="D588" t="inlineStr">
        <is>
          <t>KALMAR LÄN</t>
        </is>
      </c>
      <c r="E588" t="inlineStr">
        <is>
          <t>HULTSFRED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27351-2023</t>
        </is>
      </c>
      <c r="B589" s="1" t="n">
        <v>45096.90421296296</v>
      </c>
      <c r="C589" s="1" t="n">
        <v>45984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45236-2021</t>
        </is>
      </c>
      <c r="B590" s="1" t="n">
        <v>44439</v>
      </c>
      <c r="C590" s="1" t="n">
        <v>45984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63212-2023</t>
        </is>
      </c>
      <c r="B591" s="1" t="n">
        <v>45273</v>
      </c>
      <c r="C591" s="1" t="n">
        <v>45984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42740-2024</t>
        </is>
      </c>
      <c r="B592" s="1" t="n">
        <v>45566.4780787037</v>
      </c>
      <c r="C592" s="1" t="n">
        <v>45984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14726-2025</t>
        </is>
      </c>
      <c r="B593" s="1" t="n">
        <v>45742.63379629629</v>
      </c>
      <c r="C593" s="1" t="n">
        <v>45984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17012-2023</t>
        </is>
      </c>
      <c r="B594" s="1" t="n">
        <v>45034.31502314815</v>
      </c>
      <c r="C594" s="1" t="n">
        <v>45984</v>
      </c>
      <c r="D594" t="inlineStr">
        <is>
          <t>KALMAR LÄN</t>
        </is>
      </c>
      <c r="E594" t="inlineStr">
        <is>
          <t>HULTSFRED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57479-2022</t>
        </is>
      </c>
      <c r="B595" s="1" t="n">
        <v>44896.59528935186</v>
      </c>
      <c r="C595" s="1" t="n">
        <v>45984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40554-2023</t>
        </is>
      </c>
      <c r="B596" s="1" t="n">
        <v>45170.45482638889</v>
      </c>
      <c r="C596" s="1" t="n">
        <v>45984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43635-2024</t>
        </is>
      </c>
      <c r="B597" s="1" t="n">
        <v>45569.49569444444</v>
      </c>
      <c r="C597" s="1" t="n">
        <v>45984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3882-2023</t>
        </is>
      </c>
      <c r="B598" s="1" t="n">
        <v>44951.89928240741</v>
      </c>
      <c r="C598" s="1" t="n">
        <v>45984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6510-2024</t>
        </is>
      </c>
      <c r="B599" s="1" t="n">
        <v>45340.86449074074</v>
      </c>
      <c r="C599" s="1" t="n">
        <v>45984</v>
      </c>
      <c r="D599" t="inlineStr">
        <is>
          <t>KALMAR LÄN</t>
        </is>
      </c>
      <c r="E599" t="inlineStr">
        <is>
          <t>HULTSFRED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44519.98293981481</v>
      </c>
      <c r="C600" s="1" t="n">
        <v>45984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36395-2023</t>
        </is>
      </c>
      <c r="B601" s="1" t="n">
        <v>45152.54458333334</v>
      </c>
      <c r="C601" s="1" t="n">
        <v>45984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11334-2025</t>
        </is>
      </c>
      <c r="B602" s="1" t="n">
        <v>45726.48642361111</v>
      </c>
      <c r="C602" s="1" t="n">
        <v>45984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32646-2023</t>
        </is>
      </c>
      <c r="B603" s="1" t="n">
        <v>45121.60563657407</v>
      </c>
      <c r="C603" s="1" t="n">
        <v>45984</v>
      </c>
      <c r="D603" t="inlineStr">
        <is>
          <t>KALMAR LÄN</t>
        </is>
      </c>
      <c r="E603" t="inlineStr">
        <is>
          <t>HULTSFRED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2267-2024</t>
        </is>
      </c>
      <c r="B604" s="1" t="n">
        <v>45310</v>
      </c>
      <c r="C604" s="1" t="n">
        <v>45984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60361-2023</t>
        </is>
      </c>
      <c r="B605" s="1" t="n">
        <v>45259.37826388889</v>
      </c>
      <c r="C605" s="1" t="n">
        <v>45984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9650-2021</t>
        </is>
      </c>
      <c r="B606" s="1" t="n">
        <v>44252</v>
      </c>
      <c r="C606" s="1" t="n">
        <v>45984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13786-2024</t>
        </is>
      </c>
      <c r="B607" s="1" t="n">
        <v>45391.33994212963</v>
      </c>
      <c r="C607" s="1" t="n">
        <v>45984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50884-2023</t>
        </is>
      </c>
      <c r="B608" s="1" t="n">
        <v>45218</v>
      </c>
      <c r="C608" s="1" t="n">
        <v>45984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45658-2023</t>
        </is>
      </c>
      <c r="B609" s="1" t="n">
        <v>45194</v>
      </c>
      <c r="C609" s="1" t="n">
        <v>45984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45984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11710-2023</t>
        </is>
      </c>
      <c r="B611" s="1" t="n">
        <v>44994</v>
      </c>
      <c r="C611" s="1" t="n">
        <v>45984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68991-2021</t>
        </is>
      </c>
      <c r="B612" s="1" t="n">
        <v>44529</v>
      </c>
      <c r="C612" s="1" t="n">
        <v>45984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28910-2023</t>
        </is>
      </c>
      <c r="B613" s="1" t="n">
        <v>45104.52766203704</v>
      </c>
      <c r="C613" s="1" t="n">
        <v>45984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55990-2022</t>
        </is>
      </c>
      <c r="B614" s="1" t="n">
        <v>44889.47004629629</v>
      </c>
      <c r="C614" s="1" t="n">
        <v>45984</v>
      </c>
      <c r="D614" t="inlineStr">
        <is>
          <t>KALMAR LÄN</t>
        </is>
      </c>
      <c r="E614" t="inlineStr">
        <is>
          <t>HULTSFRED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44530.35085648148</v>
      </c>
      <c r="C615" s="1" t="n">
        <v>45984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54712-2021</t>
        </is>
      </c>
      <c r="B616" s="1" t="n">
        <v>44473</v>
      </c>
      <c r="C616" s="1" t="n">
        <v>45984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48956-2024</t>
        </is>
      </c>
      <c r="B617" s="1" t="n">
        <v>45594.44086805556</v>
      </c>
      <c r="C617" s="1" t="n">
        <v>45984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3403-2024</t>
        </is>
      </c>
      <c r="B618" s="1" t="n">
        <v>45318.64234953704</v>
      </c>
      <c r="C618" s="1" t="n">
        <v>45984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72708-2021</t>
        </is>
      </c>
      <c r="B619" s="1" t="n">
        <v>44546.67575231481</v>
      </c>
      <c r="C619" s="1" t="n">
        <v>45984</v>
      </c>
      <c r="D619" t="inlineStr">
        <is>
          <t>KALMAR LÄN</t>
        </is>
      </c>
      <c r="E619" t="inlineStr">
        <is>
          <t>HULTSFRED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65529-2021</t>
        </is>
      </c>
      <c r="B620" s="1" t="n">
        <v>44516</v>
      </c>
      <c r="C620" s="1" t="n">
        <v>45984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21697-2024</t>
        </is>
      </c>
      <c r="B621" s="1" t="n">
        <v>45442.46103009259</v>
      </c>
      <c r="C621" s="1" t="n">
        <v>45984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37994-2023</t>
        </is>
      </c>
      <c r="B622" s="1" t="n">
        <v>45160.60979166667</v>
      </c>
      <c r="C622" s="1" t="n">
        <v>45984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45984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45984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45984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45984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45984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45984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45984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45984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45984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45984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45984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45984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44681-2023</t>
        </is>
      </c>
      <c r="B635" s="1" t="n">
        <v>45189.84020833333</v>
      </c>
      <c r="C635" s="1" t="n">
        <v>45984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8198-2022</t>
        </is>
      </c>
      <c r="B636" s="1" t="n">
        <v>44609.71230324074</v>
      </c>
      <c r="C636" s="1" t="n">
        <v>45984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37281-2023</t>
        </is>
      </c>
      <c r="B637" s="1" t="n">
        <v>45156</v>
      </c>
      <c r="C637" s="1" t="n">
        <v>45984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19050-2023</t>
        </is>
      </c>
      <c r="B638" s="1" t="n">
        <v>45047.82030092592</v>
      </c>
      <c r="C638" s="1" t="n">
        <v>45984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16723-2025</t>
        </is>
      </c>
      <c r="B639" s="1" t="n">
        <v>45754.50134259259</v>
      </c>
      <c r="C639" s="1" t="n">
        <v>45984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25246-2023</t>
        </is>
      </c>
      <c r="B640" s="1" t="n">
        <v>45086.64048611111</v>
      </c>
      <c r="C640" s="1" t="n">
        <v>45984</v>
      </c>
      <c r="D640" t="inlineStr">
        <is>
          <t>KALMAR LÄN</t>
        </is>
      </c>
      <c r="E640" t="inlineStr">
        <is>
          <t>HULTSFRED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48320-2023</t>
        </is>
      </c>
      <c r="B641" s="1" t="n">
        <v>45205</v>
      </c>
      <c r="C641" s="1" t="n">
        <v>45984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3758-2025</t>
        </is>
      </c>
      <c r="B642" s="1" t="n">
        <v>45681.59012731481</v>
      </c>
      <c r="C642" s="1" t="n">
        <v>45984</v>
      </c>
      <c r="D642" t="inlineStr">
        <is>
          <t>KALMAR LÄN</t>
        </is>
      </c>
      <c r="E642" t="inlineStr">
        <is>
          <t>HULTSFRED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39944-2023</t>
        </is>
      </c>
      <c r="B643" s="1" t="n">
        <v>45168</v>
      </c>
      <c r="C643" s="1" t="n">
        <v>45984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19932-2023</t>
        </is>
      </c>
      <c r="B644" s="1" t="n">
        <v>45054</v>
      </c>
      <c r="C644" s="1" t="n">
        <v>45984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18055-2024</t>
        </is>
      </c>
      <c r="B645" s="1" t="n">
        <v>45420.39489583333</v>
      </c>
      <c r="C645" s="1" t="n">
        <v>45984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40334-2023</t>
        </is>
      </c>
      <c r="B646" s="1" t="n">
        <v>45169.62482638889</v>
      </c>
      <c r="C646" s="1" t="n">
        <v>45984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6560-2024</t>
        </is>
      </c>
      <c r="B647" s="1" t="n">
        <v>45341</v>
      </c>
      <c r="C647" s="1" t="n">
        <v>45984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12200-2025</t>
        </is>
      </c>
      <c r="B648" s="1" t="n">
        <v>45729.481875</v>
      </c>
      <c r="C648" s="1" t="n">
        <v>45984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45984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21619-2023</t>
        </is>
      </c>
      <c r="B650" s="1" t="n">
        <v>45063</v>
      </c>
      <c r="C650" s="1" t="n">
        <v>45984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56358-2024</t>
        </is>
      </c>
      <c r="B651" s="1" t="n">
        <v>45624.98180555556</v>
      </c>
      <c r="C651" s="1" t="n">
        <v>45984</v>
      </c>
      <c r="D651" t="inlineStr">
        <is>
          <t>KALMAR LÄN</t>
        </is>
      </c>
      <c r="E651" t="inlineStr">
        <is>
          <t>HULTSFRED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45660-2023</t>
        </is>
      </c>
      <c r="B652" s="1" t="n">
        <v>45194</v>
      </c>
      <c r="C652" s="1" t="n">
        <v>45984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11080-2021</t>
        </is>
      </c>
      <c r="B653" s="1" t="n">
        <v>44260</v>
      </c>
      <c r="C653" s="1" t="n">
        <v>45984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9718-2025</t>
        </is>
      </c>
      <c r="B654" s="1" t="n">
        <v>45715</v>
      </c>
      <c r="C654" s="1" t="n">
        <v>45984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5987-2025</t>
        </is>
      </c>
      <c r="B655" s="1" t="n">
        <v>45695.55989583334</v>
      </c>
      <c r="C655" s="1" t="n">
        <v>45984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72860-2021</t>
        </is>
      </c>
      <c r="B656" s="1" t="n">
        <v>44547.48429398148</v>
      </c>
      <c r="C656" s="1" t="n">
        <v>45984</v>
      </c>
      <c r="D656" t="inlineStr">
        <is>
          <t>KALMAR LÄN</t>
        </is>
      </c>
      <c r="E656" t="inlineStr">
        <is>
          <t>HULTSFRED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53203-2022</t>
        </is>
      </c>
      <c r="B657" s="1" t="n">
        <v>44876</v>
      </c>
      <c r="C657" s="1" t="n">
        <v>45984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33601-2023</t>
        </is>
      </c>
      <c r="B658" s="1" t="n">
        <v>45132</v>
      </c>
      <c r="C658" s="1" t="n">
        <v>45984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58095-2023</t>
        </is>
      </c>
      <c r="B659" s="1" t="n">
        <v>45248.819375</v>
      </c>
      <c r="C659" s="1" t="n">
        <v>45984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54053-2024</t>
        </is>
      </c>
      <c r="B660" s="1" t="n">
        <v>45616.46331018519</v>
      </c>
      <c r="C660" s="1" t="n">
        <v>45984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50320-2023</t>
        </is>
      </c>
      <c r="B661" s="1" t="n">
        <v>45216.54601851852</v>
      </c>
      <c r="C661" s="1" t="n">
        <v>45984</v>
      </c>
      <c r="D661" t="inlineStr">
        <is>
          <t>KALMAR LÄN</t>
        </is>
      </c>
      <c r="E661" t="inlineStr">
        <is>
          <t>HULTSFRED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25582-2022</t>
        </is>
      </c>
      <c r="B662" s="1" t="n">
        <v>44732.66290509259</v>
      </c>
      <c r="C662" s="1" t="n">
        <v>45984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5589-2025</t>
        </is>
      </c>
      <c r="B663" s="1" t="n">
        <v>45693.56089120371</v>
      </c>
      <c r="C663" s="1" t="n">
        <v>45984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15780-2025</t>
        </is>
      </c>
      <c r="B664" s="1" t="n">
        <v>45748.61495370371</v>
      </c>
      <c r="C664" s="1" t="n">
        <v>45984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45984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42460-2023</t>
        </is>
      </c>
      <c r="B666" s="1" t="n">
        <v>45175</v>
      </c>
      <c r="C666" s="1" t="n">
        <v>45984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44196-2023</t>
        </is>
      </c>
      <c r="B667" s="1" t="n">
        <v>45188.538125</v>
      </c>
      <c r="C667" s="1" t="n">
        <v>45984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9483-2025</t>
        </is>
      </c>
      <c r="B668" s="1" t="n">
        <v>45715.48555555556</v>
      </c>
      <c r="C668" s="1" t="n">
        <v>45984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26895-2021</t>
        </is>
      </c>
      <c r="B669" s="1" t="n">
        <v>44349</v>
      </c>
      <c r="C669" s="1" t="n">
        <v>45984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3753-2025</t>
        </is>
      </c>
      <c r="B670" s="1" t="n">
        <v>45681.58489583333</v>
      </c>
      <c r="C670" s="1" t="n">
        <v>45984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3762-2025</t>
        </is>
      </c>
      <c r="B671" s="1" t="n">
        <v>45681.59599537037</v>
      </c>
      <c r="C671" s="1" t="n">
        <v>45984</v>
      </c>
      <c r="D671" t="inlineStr">
        <is>
          <t>KALMAR LÄN</t>
        </is>
      </c>
      <c r="E671" t="inlineStr">
        <is>
          <t>HULTSFRED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24257-2022</t>
        </is>
      </c>
      <c r="B672" s="1" t="n">
        <v>44725</v>
      </c>
      <c r="C672" s="1" t="n">
        <v>45984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39845-2022</t>
        </is>
      </c>
      <c r="B673" s="1" t="n">
        <v>44819</v>
      </c>
      <c r="C673" s="1" t="n">
        <v>45984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41277-2022</t>
        </is>
      </c>
      <c r="B674" s="1" t="n">
        <v>44826</v>
      </c>
      <c r="C674" s="1" t="n">
        <v>45984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46415-2023</t>
        </is>
      </c>
      <c r="B675" s="1" t="n">
        <v>45194</v>
      </c>
      <c r="C675" s="1" t="n">
        <v>45984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4222-2021</t>
        </is>
      </c>
      <c r="B676" s="1" t="n">
        <v>44218</v>
      </c>
      <c r="C676" s="1" t="n">
        <v>45984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55674-2023</t>
        </is>
      </c>
      <c r="B677" s="1" t="n">
        <v>45239.30261574074</v>
      </c>
      <c r="C677" s="1" t="n">
        <v>45984</v>
      </c>
      <c r="D677" t="inlineStr">
        <is>
          <t>KALMAR LÄN</t>
        </is>
      </c>
      <c r="E677" t="inlineStr">
        <is>
          <t>HULTSFRED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59977-2023</t>
        </is>
      </c>
      <c r="B678" s="1" t="n">
        <v>45257.7815625</v>
      </c>
      <c r="C678" s="1" t="n">
        <v>45984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62478-2023</t>
        </is>
      </c>
      <c r="B679" s="1" t="n">
        <v>45268.57443287037</v>
      </c>
      <c r="C679" s="1" t="n">
        <v>45984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9946-2025</t>
        </is>
      </c>
      <c r="B680" s="1" t="n">
        <v>45719.31196759259</v>
      </c>
      <c r="C680" s="1" t="n">
        <v>45984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13348-2025</t>
        </is>
      </c>
      <c r="B681" s="1" t="n">
        <v>45735.63356481482</v>
      </c>
      <c r="C681" s="1" t="n">
        <v>45984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62810-2023</t>
        </is>
      </c>
      <c r="B682" s="1" t="n">
        <v>45271.88459490741</v>
      </c>
      <c r="C682" s="1" t="n">
        <v>45984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45984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12306-2024</t>
        </is>
      </c>
      <c r="B684" s="1" t="n">
        <v>45378.62289351852</v>
      </c>
      <c r="C684" s="1" t="n">
        <v>45984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19187-2025</t>
        </is>
      </c>
      <c r="B685" s="1" t="n">
        <v>45769.41255787037</v>
      </c>
      <c r="C685" s="1" t="n">
        <v>45984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15018-2024</t>
        </is>
      </c>
      <c r="B686" s="1" t="n">
        <v>45399.44796296296</v>
      </c>
      <c r="C686" s="1" t="n">
        <v>45984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45984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45984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19836-2025</t>
        </is>
      </c>
      <c r="B689" s="1" t="n">
        <v>45771.4725925926</v>
      </c>
      <c r="C689" s="1" t="n">
        <v>45984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39598-2022</t>
        </is>
      </c>
      <c r="B690" s="1" t="n">
        <v>44818.62078703703</v>
      </c>
      <c r="C690" s="1" t="n">
        <v>45984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1065-2024</t>
        </is>
      </c>
      <c r="B691" s="1" t="n">
        <v>45302.27971064814</v>
      </c>
      <c r="C691" s="1" t="n">
        <v>45984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41617-2022</t>
        </is>
      </c>
      <c r="B692" s="1" t="n">
        <v>44827</v>
      </c>
      <c r="C692" s="1" t="n">
        <v>45984</v>
      </c>
      <c r="D692" t="inlineStr">
        <is>
          <t>KALMAR LÄN</t>
        </is>
      </c>
      <c r="E692" t="inlineStr">
        <is>
          <t>HULTSFRED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11497-2025</t>
        </is>
      </c>
      <c r="B693" s="1" t="n">
        <v>45726.75759259259</v>
      </c>
      <c r="C693" s="1" t="n">
        <v>45984</v>
      </c>
      <c r="D693" t="inlineStr">
        <is>
          <t>KALMAR LÄN</t>
        </is>
      </c>
      <c r="E693" t="inlineStr">
        <is>
          <t>HULTSFRED</t>
        </is>
      </c>
      <c r="F693" t="inlineStr">
        <is>
          <t>Övriga Aktiebolag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55030-2023</t>
        </is>
      </c>
      <c r="B694" s="1" t="n">
        <v>45237</v>
      </c>
      <c r="C694" s="1" t="n">
        <v>45984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45984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45984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20035-2023</t>
        </is>
      </c>
      <c r="B697" s="1" t="n">
        <v>45054</v>
      </c>
      <c r="C697" s="1" t="n">
        <v>45984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45984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61898-2023</t>
        </is>
      </c>
      <c r="B699" s="1" t="n">
        <v>45266.45414351852</v>
      </c>
      <c r="C699" s="1" t="n">
        <v>45984</v>
      </c>
      <c r="D699" t="inlineStr">
        <is>
          <t>KALMAR LÄN</t>
        </is>
      </c>
      <c r="E699" t="inlineStr">
        <is>
          <t>HULTSFRED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36638-2024</t>
        </is>
      </c>
      <c r="B700" s="1" t="n">
        <v>45537.59931712963</v>
      </c>
      <c r="C700" s="1" t="n">
        <v>45984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60525-2021</t>
        </is>
      </c>
      <c r="B701" s="1" t="n">
        <v>44496.5093287037</v>
      </c>
      <c r="C701" s="1" t="n">
        <v>45984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5584-2025</t>
        </is>
      </c>
      <c r="B702" s="1" t="n">
        <v>45693.5546875</v>
      </c>
      <c r="C702" s="1" t="n">
        <v>45984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5587-2025</t>
        </is>
      </c>
      <c r="B703" s="1" t="n">
        <v>45693.55793981482</v>
      </c>
      <c r="C703" s="1" t="n">
        <v>45984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52886-2024</t>
        </is>
      </c>
      <c r="B704" s="1" t="n">
        <v>45610.65568287037</v>
      </c>
      <c r="C704" s="1" t="n">
        <v>45984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23852-2024</t>
        </is>
      </c>
      <c r="B705" s="1" t="n">
        <v>45455.5603587963</v>
      </c>
      <c r="C705" s="1" t="n">
        <v>45984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4659-2024</t>
        </is>
      </c>
      <c r="B706" s="1" t="n">
        <v>45328.46377314815</v>
      </c>
      <c r="C706" s="1" t="n">
        <v>45984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70600-2021</t>
        </is>
      </c>
      <c r="B707" s="1" t="n">
        <v>44537.4409375</v>
      </c>
      <c r="C707" s="1" t="n">
        <v>45984</v>
      </c>
      <c r="D707" t="inlineStr">
        <is>
          <t>KALMAR LÄN</t>
        </is>
      </c>
      <c r="E707" t="inlineStr">
        <is>
          <t>HULTSFRED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40009-2023</t>
        </is>
      </c>
      <c r="B708" s="1" t="n">
        <v>45168.62385416667</v>
      </c>
      <c r="C708" s="1" t="n">
        <v>45984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50269-2023</t>
        </is>
      </c>
      <c r="B709" s="1" t="n">
        <v>45209</v>
      </c>
      <c r="C709" s="1" t="n">
        <v>45984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28238-2024</t>
        </is>
      </c>
      <c r="B710" s="1" t="n">
        <v>45477.3924537037</v>
      </c>
      <c r="C710" s="1" t="n">
        <v>45984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2824-2021</t>
        </is>
      </c>
      <c r="B711" s="1" t="n">
        <v>44215</v>
      </c>
      <c r="C711" s="1" t="n">
        <v>45984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16985-2024</t>
        </is>
      </c>
      <c r="B712" s="1" t="n">
        <v>45412.30461805555</v>
      </c>
      <c r="C712" s="1" t="n">
        <v>45984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17131-2024</t>
        </is>
      </c>
      <c r="B713" s="1" t="n">
        <v>45412.60458333333</v>
      </c>
      <c r="C713" s="1" t="n">
        <v>45984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34289-2024</t>
        </is>
      </c>
      <c r="B714" s="1" t="n">
        <v>45524.63563657407</v>
      </c>
      <c r="C714" s="1" t="n">
        <v>45984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5002-2025</t>
        </is>
      </c>
      <c r="B715" s="1" t="n">
        <v>45691.36478009259</v>
      </c>
      <c r="C715" s="1" t="n">
        <v>45984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41187-2024</t>
        </is>
      </c>
      <c r="B716" s="1" t="n">
        <v>45559.50409722222</v>
      </c>
      <c r="C716" s="1" t="n">
        <v>45984</v>
      </c>
      <c r="D716" t="inlineStr">
        <is>
          <t>KALMAR LÄN</t>
        </is>
      </c>
      <c r="E716" t="inlineStr">
        <is>
          <t>HULTSFRED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57707-2021</t>
        </is>
      </c>
      <c r="B717" s="1" t="n">
        <v>44484</v>
      </c>
      <c r="C717" s="1" t="n">
        <v>45984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15875-2025</t>
        </is>
      </c>
      <c r="B718" s="1" t="n">
        <v>45749.37798611111</v>
      </c>
      <c r="C718" s="1" t="n">
        <v>45984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14094-2022</t>
        </is>
      </c>
      <c r="B719" s="1" t="n">
        <v>44651</v>
      </c>
      <c r="C719" s="1" t="n">
        <v>45984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16881-2025</t>
        </is>
      </c>
      <c r="B720" s="1" t="n">
        <v>45755.29855324074</v>
      </c>
      <c r="C720" s="1" t="n">
        <v>45984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26437-2023</t>
        </is>
      </c>
      <c r="B721" s="1" t="n">
        <v>45092</v>
      </c>
      <c r="C721" s="1" t="n">
        <v>45984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43633-2023</t>
        </is>
      </c>
      <c r="B722" s="1" t="n">
        <v>45185.6368287037</v>
      </c>
      <c r="C722" s="1" t="n">
        <v>45984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44825.32336805556</v>
      </c>
      <c r="C723" s="1" t="n">
        <v>45984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8402-2022</t>
        </is>
      </c>
      <c r="B724" s="1" t="n">
        <v>44610</v>
      </c>
      <c r="C724" s="1" t="n">
        <v>45984</v>
      </c>
      <c r="D724" t="inlineStr">
        <is>
          <t>KALMAR LÄN</t>
        </is>
      </c>
      <c r="E724" t="inlineStr">
        <is>
          <t>HULTSFRED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62361-2021</t>
        </is>
      </c>
      <c r="B725" s="1" t="n">
        <v>44502</v>
      </c>
      <c r="C725" s="1" t="n">
        <v>45984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45032-2024</t>
        </is>
      </c>
      <c r="B726" s="1" t="n">
        <v>45575</v>
      </c>
      <c r="C726" s="1" t="n">
        <v>45984</v>
      </c>
      <c r="D726" t="inlineStr">
        <is>
          <t>KALMAR LÄN</t>
        </is>
      </c>
      <c r="E726" t="inlineStr">
        <is>
          <t>HULTSFRED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35721-2023</t>
        </is>
      </c>
      <c r="B727" s="1" t="n">
        <v>45147.70241898148</v>
      </c>
      <c r="C727" s="1" t="n">
        <v>45984</v>
      </c>
      <c r="D727" t="inlineStr">
        <is>
          <t>KALMAR LÄN</t>
        </is>
      </c>
      <c r="E727" t="inlineStr">
        <is>
          <t>HULTSFRED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58825-2022</t>
        </is>
      </c>
      <c r="B728" s="1" t="n">
        <v>44903.47134259259</v>
      </c>
      <c r="C728" s="1" t="n">
        <v>45984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36663-2023</t>
        </is>
      </c>
      <c r="B729" s="1" t="n">
        <v>45153</v>
      </c>
      <c r="C729" s="1" t="n">
        <v>45984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36692-2023</t>
        </is>
      </c>
      <c r="B730" s="1" t="n">
        <v>45153.62142361111</v>
      </c>
      <c r="C730" s="1" t="n">
        <v>45984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11235-2023</t>
        </is>
      </c>
      <c r="B731" s="1" t="n">
        <v>44992.64321759259</v>
      </c>
      <c r="C731" s="1" t="n">
        <v>45984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68234-2020</t>
        </is>
      </c>
      <c r="B732" s="1" t="n">
        <v>44183.62951388889</v>
      </c>
      <c r="C732" s="1" t="n">
        <v>45984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40792-2022</t>
        </is>
      </c>
      <c r="B733" s="1" t="n">
        <v>44824</v>
      </c>
      <c r="C733" s="1" t="n">
        <v>45984</v>
      </c>
      <c r="D733" t="inlineStr">
        <is>
          <t>KALMAR LÄN</t>
        </is>
      </c>
      <c r="E733" t="inlineStr">
        <is>
          <t>HULTSFRED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17058-2024</t>
        </is>
      </c>
      <c r="B734" s="1" t="n">
        <v>45412.45262731481</v>
      </c>
      <c r="C734" s="1" t="n">
        <v>45984</v>
      </c>
      <c r="D734" t="inlineStr">
        <is>
          <t>KALMAR LÄN</t>
        </is>
      </c>
      <c r="E734" t="inlineStr">
        <is>
          <t>HULTSFRED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9589-2024</t>
        </is>
      </c>
      <c r="B735" s="1" t="n">
        <v>45360.69631944445</v>
      </c>
      <c r="C735" s="1" t="n">
        <v>45984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61211-2021</t>
        </is>
      </c>
      <c r="B736" s="1" t="n">
        <v>44498.49251157408</v>
      </c>
      <c r="C736" s="1" t="n">
        <v>45984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8807-2024</t>
        </is>
      </c>
      <c r="B737" s="1" t="n">
        <v>45355</v>
      </c>
      <c r="C737" s="1" t="n">
        <v>45984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45984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45984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18321-2023</t>
        </is>
      </c>
      <c r="B740" s="1" t="n">
        <v>45041.6187037037</v>
      </c>
      <c r="C740" s="1" t="n">
        <v>45984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5993-2025</t>
        </is>
      </c>
      <c r="B741" s="1" t="n">
        <v>45695.56664351852</v>
      </c>
      <c r="C741" s="1" t="n">
        <v>45984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56944-2021</t>
        </is>
      </c>
      <c r="B742" s="1" t="n">
        <v>44482.36085648148</v>
      </c>
      <c r="C742" s="1" t="n">
        <v>45984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44868.66078703704</v>
      </c>
      <c r="C743" s="1" t="n">
        <v>45984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11703-2023</t>
        </is>
      </c>
      <c r="B744" s="1" t="n">
        <v>44994.54207175926</v>
      </c>
      <c r="C744" s="1" t="n">
        <v>45984</v>
      </c>
      <c r="D744" t="inlineStr">
        <is>
          <t>KALMAR LÄN</t>
        </is>
      </c>
      <c r="E744" t="inlineStr">
        <is>
          <t>HULTSFRED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44881.37020833333</v>
      </c>
      <c r="C745" s="1" t="n">
        <v>45984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24337-2023</t>
        </is>
      </c>
      <c r="B746" s="1" t="n">
        <v>45081.89592592593</v>
      </c>
      <c r="C746" s="1" t="n">
        <v>45984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44964.61778935185</v>
      </c>
      <c r="C747" s="1" t="n">
        <v>45984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7310-2023</t>
        </is>
      </c>
      <c r="B748" s="1" t="n">
        <v>44970.8662962963</v>
      </c>
      <c r="C748" s="1" t="n">
        <v>45984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52893-2024</t>
        </is>
      </c>
      <c r="B749" s="1" t="n">
        <v>45610.66920138889</v>
      </c>
      <c r="C749" s="1" t="n">
        <v>45984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28979-2024</t>
        </is>
      </c>
      <c r="B750" s="1" t="n">
        <v>45481</v>
      </c>
      <c r="C750" s="1" t="n">
        <v>45984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42434-2023</t>
        </is>
      </c>
      <c r="B751" s="1" t="n">
        <v>45180</v>
      </c>
      <c r="C751" s="1" t="n">
        <v>45984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36271-2023</t>
        </is>
      </c>
      <c r="B752" s="1" t="n">
        <v>45152</v>
      </c>
      <c r="C752" s="1" t="n">
        <v>45984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45984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22401-2023</t>
        </is>
      </c>
      <c r="B754" s="1" t="n">
        <v>45070.64072916667</v>
      </c>
      <c r="C754" s="1" t="n">
        <v>45984</v>
      </c>
      <c r="D754" t="inlineStr">
        <is>
          <t>KALMAR LÄN</t>
        </is>
      </c>
      <c r="E754" t="inlineStr">
        <is>
          <t>HULTSFRED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7335-2025</t>
        </is>
      </c>
      <c r="B755" s="1" t="n">
        <v>45703.40652777778</v>
      </c>
      <c r="C755" s="1" t="n">
        <v>45984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60678-2023</t>
        </is>
      </c>
      <c r="B756" s="1" t="n">
        <v>45260.47619212963</v>
      </c>
      <c r="C756" s="1" t="n">
        <v>45984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60681-2023</t>
        </is>
      </c>
      <c r="B757" s="1" t="n">
        <v>45260.47771990741</v>
      </c>
      <c r="C757" s="1" t="n">
        <v>45984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7531-2024</t>
        </is>
      </c>
      <c r="B758" s="1" t="n">
        <v>45348.39001157408</v>
      </c>
      <c r="C758" s="1" t="n">
        <v>45984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5989-2025</t>
        </is>
      </c>
      <c r="B759" s="1" t="n">
        <v>45695.56203703704</v>
      </c>
      <c r="C759" s="1" t="n">
        <v>45984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5996-2025</t>
        </is>
      </c>
      <c r="B760" s="1" t="n">
        <v>45695.5696875</v>
      </c>
      <c r="C760" s="1" t="n">
        <v>45984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59548-2024</t>
        </is>
      </c>
      <c r="B761" s="1" t="n">
        <v>45637</v>
      </c>
      <c r="C761" s="1" t="n">
        <v>45984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33886-2023</t>
        </is>
      </c>
      <c r="B762" s="1" t="n">
        <v>45134</v>
      </c>
      <c r="C762" s="1" t="n">
        <v>45984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41695-2022</t>
        </is>
      </c>
      <c r="B763" s="1" t="n">
        <v>44827</v>
      </c>
      <c r="C763" s="1" t="n">
        <v>45984</v>
      </c>
      <c r="D763" t="inlineStr">
        <is>
          <t>KALMAR LÄN</t>
        </is>
      </c>
      <c r="E763" t="inlineStr">
        <is>
          <t>HULTSFRED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43663-2024</t>
        </is>
      </c>
      <c r="B764" s="1" t="n">
        <v>45569</v>
      </c>
      <c r="C764" s="1" t="n">
        <v>45984</v>
      </c>
      <c r="D764" t="inlineStr">
        <is>
          <t>KALMAR LÄN</t>
        </is>
      </c>
      <c r="E764" t="inlineStr">
        <is>
          <t>HULTSFRED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42316-2023</t>
        </is>
      </c>
      <c r="B765" s="1" t="n">
        <v>45180.46920138889</v>
      </c>
      <c r="C765" s="1" t="n">
        <v>45984</v>
      </c>
      <c r="D765" t="inlineStr">
        <is>
          <t>KALMAR LÄN</t>
        </is>
      </c>
      <c r="E765" t="inlineStr">
        <is>
          <t>HULTSFRED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45984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14569-2023</t>
        </is>
      </c>
      <c r="B767" s="1" t="n">
        <v>45013</v>
      </c>
      <c r="C767" s="1" t="n">
        <v>45984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36698-2023</t>
        </is>
      </c>
      <c r="B768" s="1" t="n">
        <v>45153</v>
      </c>
      <c r="C768" s="1" t="n">
        <v>45984</v>
      </c>
      <c r="D768" t="inlineStr">
        <is>
          <t>KALMAR LÄN</t>
        </is>
      </c>
      <c r="E768" t="inlineStr">
        <is>
          <t>HULTSFRED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29569-2024</t>
        </is>
      </c>
      <c r="B769" s="1" t="n">
        <v>45484.55672453704</v>
      </c>
      <c r="C769" s="1" t="n">
        <v>45984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4974-2023</t>
        </is>
      </c>
      <c r="B770" s="1" t="n">
        <v>44958.45834490741</v>
      </c>
      <c r="C770" s="1" t="n">
        <v>45984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29973-2024</t>
        </is>
      </c>
      <c r="B771" s="1" t="n">
        <v>45488.47798611111</v>
      </c>
      <c r="C771" s="1" t="n">
        <v>45984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11232-2023</t>
        </is>
      </c>
      <c r="B772" s="1" t="n">
        <v>44992.63921296296</v>
      </c>
      <c r="C772" s="1" t="n">
        <v>45984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57004-2024</t>
        </is>
      </c>
      <c r="B773" s="1" t="n">
        <v>45628.73400462963</v>
      </c>
      <c r="C773" s="1" t="n">
        <v>45984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9891-2024</t>
        </is>
      </c>
      <c r="B774" s="1" t="n">
        <v>45363.47704861111</v>
      </c>
      <c r="C774" s="1" t="n">
        <v>45984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56554-2022</t>
        </is>
      </c>
      <c r="B775" s="1" t="n">
        <v>44893</v>
      </c>
      <c r="C775" s="1" t="n">
        <v>45984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24258-2022</t>
        </is>
      </c>
      <c r="B776" s="1" t="n">
        <v>44725</v>
      </c>
      <c r="C776" s="1" t="n">
        <v>45984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37280-2023</t>
        </is>
      </c>
      <c r="B777" s="1" t="n">
        <v>45156</v>
      </c>
      <c r="C777" s="1" t="n">
        <v>45984</v>
      </c>
      <c r="D777" t="inlineStr">
        <is>
          <t>KALMAR LÄN</t>
        </is>
      </c>
      <c r="E777" t="inlineStr">
        <is>
          <t>HULTSFRED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58862-2023</t>
        </is>
      </c>
      <c r="B778" s="1" t="n">
        <v>45247</v>
      </c>
      <c r="C778" s="1" t="n">
        <v>45984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56100-2024</t>
        </is>
      </c>
      <c r="B779" s="1" t="n">
        <v>45624.42489583333</v>
      </c>
      <c r="C779" s="1" t="n">
        <v>45984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19403-2023</t>
        </is>
      </c>
      <c r="B780" s="1" t="n">
        <v>45049</v>
      </c>
      <c r="C780" s="1" t="n">
        <v>45984</v>
      </c>
      <c r="D780" t="inlineStr">
        <is>
          <t>KALMAR LÄN</t>
        </is>
      </c>
      <c r="E780" t="inlineStr">
        <is>
          <t>HULTSFRED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34565-2022</t>
        </is>
      </c>
      <c r="B781" s="1" t="n">
        <v>44794</v>
      </c>
      <c r="C781" s="1" t="n">
        <v>45984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39948-2023</t>
        </is>
      </c>
      <c r="B782" s="1" t="n">
        <v>45168</v>
      </c>
      <c r="C782" s="1" t="n">
        <v>45984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44970.31702546297</v>
      </c>
      <c r="C783" s="1" t="n">
        <v>45984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5801-2024</t>
        </is>
      </c>
      <c r="B784" s="1" t="n">
        <v>45335.48046296297</v>
      </c>
      <c r="C784" s="1" t="n">
        <v>45984</v>
      </c>
      <c r="D784" t="inlineStr">
        <is>
          <t>KALMAR LÄN</t>
        </is>
      </c>
      <c r="E784" t="inlineStr">
        <is>
          <t>HULTSFRED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8332-2024</t>
        </is>
      </c>
      <c r="B785" s="1" t="n">
        <v>45352.49944444445</v>
      </c>
      <c r="C785" s="1" t="n">
        <v>45984</v>
      </c>
      <c r="D785" t="inlineStr">
        <is>
          <t>KALMAR LÄN</t>
        </is>
      </c>
      <c r="E785" t="inlineStr">
        <is>
          <t>HULTSFRED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36092-2023</t>
        </is>
      </c>
      <c r="B786" s="1" t="n">
        <v>45149</v>
      </c>
      <c r="C786" s="1" t="n">
        <v>45984</v>
      </c>
      <c r="D786" t="inlineStr">
        <is>
          <t>KALMAR LÄN</t>
        </is>
      </c>
      <c r="E786" t="inlineStr">
        <is>
          <t>HULTSFRED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13946-2023</t>
        </is>
      </c>
      <c r="B787" s="1" t="n">
        <v>45008.45369212963</v>
      </c>
      <c r="C787" s="1" t="n">
        <v>45984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48927-2023</t>
        </is>
      </c>
      <c r="B788" s="1" t="n">
        <v>45209.55802083333</v>
      </c>
      <c r="C788" s="1" t="n">
        <v>45984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11883-2024</t>
        </is>
      </c>
      <c r="B789" s="1" t="n">
        <v>45376.49780092593</v>
      </c>
      <c r="C789" s="1" t="n">
        <v>45984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25475-2022</t>
        </is>
      </c>
      <c r="B790" s="1" t="n">
        <v>44732</v>
      </c>
      <c r="C790" s="1" t="n">
        <v>45984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5578-2023</t>
        </is>
      </c>
      <c r="B791" s="1" t="n">
        <v>44960.49487268519</v>
      </c>
      <c r="C791" s="1" t="n">
        <v>45984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11325-2025</t>
        </is>
      </c>
      <c r="B792" s="1" t="n">
        <v>45726.47065972222</v>
      </c>
      <c r="C792" s="1" t="n">
        <v>45984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11383-2025</t>
        </is>
      </c>
      <c r="B793" s="1" t="n">
        <v>45726.56298611111</v>
      </c>
      <c r="C793" s="1" t="n">
        <v>45984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64306-2023</t>
        </is>
      </c>
      <c r="B794" s="1" t="n">
        <v>45280</v>
      </c>
      <c r="C794" s="1" t="n">
        <v>45984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7606-2025</t>
        </is>
      </c>
      <c r="B795" s="1" t="n">
        <v>45705.66491898148</v>
      </c>
      <c r="C795" s="1" t="n">
        <v>45984</v>
      </c>
      <c r="D795" t="inlineStr">
        <is>
          <t>KALMAR LÄN</t>
        </is>
      </c>
      <c r="E795" t="inlineStr">
        <is>
          <t>HULTSFRED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58208-2023</t>
        </is>
      </c>
      <c r="B796" s="1" t="n">
        <v>45250.44482638889</v>
      </c>
      <c r="C796" s="1" t="n">
        <v>45984</v>
      </c>
      <c r="D796" t="inlineStr">
        <is>
          <t>KALMAR LÄN</t>
        </is>
      </c>
      <c r="E796" t="inlineStr">
        <is>
          <t>HULTSFRED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5755-2023</t>
        </is>
      </c>
      <c r="B797" s="1" t="n">
        <v>44963.33652777778</v>
      </c>
      <c r="C797" s="1" t="n">
        <v>45984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16541-2024</t>
        </is>
      </c>
      <c r="B798" s="1" t="n">
        <v>45408.4359837963</v>
      </c>
      <c r="C798" s="1" t="n">
        <v>45984</v>
      </c>
      <c r="D798" t="inlineStr">
        <is>
          <t>KALMAR LÄN</t>
        </is>
      </c>
      <c r="E798" t="inlineStr">
        <is>
          <t>HULTSFRED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10904-2024</t>
        </is>
      </c>
      <c r="B799" s="1" t="n">
        <v>45370.3781712963</v>
      </c>
      <c r="C799" s="1" t="n">
        <v>45984</v>
      </c>
      <c r="D799" t="inlineStr">
        <is>
          <t>KALMAR LÄN</t>
        </is>
      </c>
      <c r="E799" t="inlineStr">
        <is>
          <t>HULTSFRED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60363-2023</t>
        </is>
      </c>
      <c r="B800" s="1" t="n">
        <v>45259.3803125</v>
      </c>
      <c r="C800" s="1" t="n">
        <v>45984</v>
      </c>
      <c r="D800" t="inlineStr">
        <is>
          <t>KALMAR LÄN</t>
        </is>
      </c>
      <c r="E800" t="inlineStr">
        <is>
          <t>HULTSFRED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12339-2025</t>
        </is>
      </c>
      <c r="B801" s="1" t="n">
        <v>45730.33476851852</v>
      </c>
      <c r="C801" s="1" t="n">
        <v>45984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46029-2024</t>
        </is>
      </c>
      <c r="B802" s="1" t="n">
        <v>45580.70136574074</v>
      </c>
      <c r="C802" s="1" t="n">
        <v>45984</v>
      </c>
      <c r="D802" t="inlineStr">
        <is>
          <t>KALMAR LÄN</t>
        </is>
      </c>
      <c r="E802" t="inlineStr">
        <is>
          <t>HULTSFRED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38193-2023</t>
        </is>
      </c>
      <c r="B803" s="1" t="n">
        <v>45161.48927083334</v>
      </c>
      <c r="C803" s="1" t="n">
        <v>45984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6272-2025</t>
        </is>
      </c>
      <c r="B804" s="1" t="n">
        <v>45698.611875</v>
      </c>
      <c r="C804" s="1" t="n">
        <v>45984</v>
      </c>
      <c r="D804" t="inlineStr">
        <is>
          <t>KALMAR LÄN</t>
        </is>
      </c>
      <c r="E804" t="inlineStr">
        <is>
          <t>HULTSFRED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22622-2024</t>
        </is>
      </c>
      <c r="B805" s="1" t="n">
        <v>45447</v>
      </c>
      <c r="C805" s="1" t="n">
        <v>45984</v>
      </c>
      <c r="D805" t="inlineStr">
        <is>
          <t>KALMAR LÄN</t>
        </is>
      </c>
      <c r="E805" t="inlineStr">
        <is>
          <t>HULTSFRED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28254-2024</t>
        </is>
      </c>
      <c r="B806" s="1" t="n">
        <v>45477.42023148148</v>
      </c>
      <c r="C806" s="1" t="n">
        <v>45984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12331-2025</t>
        </is>
      </c>
      <c r="B807" s="1" t="n">
        <v>45730.32494212963</v>
      </c>
      <c r="C807" s="1" t="n">
        <v>45984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9719-2025</t>
        </is>
      </c>
      <c r="B808" s="1" t="n">
        <v>45715</v>
      </c>
      <c r="C808" s="1" t="n">
        <v>45984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45984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33440-2023</t>
        </is>
      </c>
      <c r="B810" s="1" t="n">
        <v>45129.79834490741</v>
      </c>
      <c r="C810" s="1" t="n">
        <v>45984</v>
      </c>
      <c r="D810" t="inlineStr">
        <is>
          <t>KALMAR LÄN</t>
        </is>
      </c>
      <c r="E810" t="inlineStr">
        <is>
          <t>HULTSFRED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63867-2023</t>
        </is>
      </c>
      <c r="B811" s="1" t="n">
        <v>45278.50741898148</v>
      </c>
      <c r="C811" s="1" t="n">
        <v>45984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44715-2023</t>
        </is>
      </c>
      <c r="B812" s="1" t="n">
        <v>45190.34791666667</v>
      </c>
      <c r="C812" s="1" t="n">
        <v>45984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57173-2024</t>
        </is>
      </c>
      <c r="B813" s="1" t="n">
        <v>45629.43613425926</v>
      </c>
      <c r="C813" s="1" t="n">
        <v>45984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53191-2023</t>
        </is>
      </c>
      <c r="B814" s="1" t="n">
        <v>45229</v>
      </c>
      <c r="C814" s="1" t="n">
        <v>45984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13157-2025</t>
        </is>
      </c>
      <c r="B815" s="1" t="n">
        <v>45735.35653935185</v>
      </c>
      <c r="C815" s="1" t="n">
        <v>45984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14824-2025</t>
        </is>
      </c>
      <c r="B816" s="1" t="n">
        <v>45743.36407407407</v>
      </c>
      <c r="C816" s="1" t="n">
        <v>45984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14839-2025</t>
        </is>
      </c>
      <c r="B817" s="1" t="n">
        <v>45743.38579861111</v>
      </c>
      <c r="C817" s="1" t="n">
        <v>45984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15270-2025</t>
        </is>
      </c>
      <c r="B818" s="1" t="n">
        <v>45744</v>
      </c>
      <c r="C818" s="1" t="n">
        <v>45984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2857-2024</t>
        </is>
      </c>
      <c r="B819" s="1" t="n">
        <v>45315.42144675926</v>
      </c>
      <c r="C819" s="1" t="n">
        <v>45984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112-2023</t>
        </is>
      </c>
      <c r="B820" s="1" t="n">
        <v>44928.4900462963</v>
      </c>
      <c r="C820" s="1" t="n">
        <v>45984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7753-2025</t>
        </is>
      </c>
      <c r="B821" s="1" t="n">
        <v>45706.50239583333</v>
      </c>
      <c r="C821" s="1" t="n">
        <v>45984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57001-2024</t>
        </is>
      </c>
      <c r="B822" s="1" t="n">
        <v>45628.72706018519</v>
      </c>
      <c r="C822" s="1" t="n">
        <v>45984</v>
      </c>
      <c r="D822" t="inlineStr">
        <is>
          <t>KALMAR LÄN</t>
        </is>
      </c>
      <c r="E822" t="inlineStr">
        <is>
          <t>HULTSFRED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19899-2025</t>
        </is>
      </c>
      <c r="B823" s="1" t="n">
        <v>45771.58767361111</v>
      </c>
      <c r="C823" s="1" t="n">
        <v>45984</v>
      </c>
      <c r="D823" t="inlineStr">
        <is>
          <t>KALMAR LÄN</t>
        </is>
      </c>
      <c r="E823" t="inlineStr">
        <is>
          <t>HULTSFRED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21642-2025</t>
        </is>
      </c>
      <c r="B824" s="1" t="n">
        <v>45783.43402777778</v>
      </c>
      <c r="C824" s="1" t="n">
        <v>45984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45984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9293-2025</t>
        </is>
      </c>
      <c r="B826" s="1" t="n">
        <v>45714.66180555556</v>
      </c>
      <c r="C826" s="1" t="n">
        <v>45984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2025-11-23T10:14:10Z</dcterms:created>
  <dcterms:modified xmlns:dcterms="http://purl.org/dc/terms/" xmlns:xsi="http://www.w3.org/2001/XMLSchema-instance" xsi:type="dcterms:W3CDTF">2025-11-23T10:14:11Z</dcterms:modified>
</cp:coreProperties>
</file>