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45667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45667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45667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45667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45667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45667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45667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45667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45667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45667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45667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45667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45667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45667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45667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45667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45667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45667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45667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45667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45667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45667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45667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45667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45667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45667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45667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45667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45667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45667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45667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45667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45667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45667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45667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45667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45667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45667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45667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45667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45667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45667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45667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45667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45667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45667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45667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45667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45667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45667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45667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45667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45667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45667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45667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45667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45667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45667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45667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45667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45667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45667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45667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45667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45667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45667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45667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45667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45667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45667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45667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45667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45667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45667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45667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45667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45667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45667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45667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45667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45667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45667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45667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45667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45667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45667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45667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45667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45667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45667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45667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45667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45667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45667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45667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45667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45667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45667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45667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45667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45667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45667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45667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45667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45667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45667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45667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45667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45667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45667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45667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45667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45667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45667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45667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45667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17715-2019</t>
        </is>
      </c>
      <c r="B118" s="1" t="n">
        <v>43556</v>
      </c>
      <c r="C118" s="1" t="n">
        <v>45667</v>
      </c>
      <c r="D118" t="inlineStr">
        <is>
          <t>KALMAR LÄN</t>
        </is>
      </c>
      <c r="E118" t="inlineStr">
        <is>
          <t>HULTSFRED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18259-2019</t>
        </is>
      </c>
      <c r="B119" s="1" t="n">
        <v>43557</v>
      </c>
      <c r="C119" s="1" t="n">
        <v>45667</v>
      </c>
      <c r="D119" t="inlineStr">
        <is>
          <t>KALMAR LÄN</t>
        </is>
      </c>
      <c r="E119" t="inlineStr">
        <is>
          <t>HULTSFRED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18251-2019</t>
        </is>
      </c>
      <c r="B120" s="1" t="n">
        <v>43558</v>
      </c>
      <c r="C120" s="1" t="n">
        <v>45667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19314-2019</t>
        </is>
      </c>
      <c r="B121" s="1" t="n">
        <v>43565</v>
      </c>
      <c r="C121" s="1" t="n">
        <v>45667</v>
      </c>
      <c r="D121" t="inlineStr">
        <is>
          <t>KALMAR LÄN</t>
        </is>
      </c>
      <c r="E121" t="inlineStr">
        <is>
          <t>HULTSFRED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20259-2019</t>
        </is>
      </c>
      <c r="B122" s="1" t="n">
        <v>43570</v>
      </c>
      <c r="C122" s="1" t="n">
        <v>45667</v>
      </c>
      <c r="D122" t="inlineStr">
        <is>
          <t>KALMAR LÄN</t>
        </is>
      </c>
      <c r="E122" t="inlineStr">
        <is>
          <t>HULTSFRED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20223-2019</t>
        </is>
      </c>
      <c r="B123" s="1" t="n">
        <v>43571</v>
      </c>
      <c r="C123" s="1" t="n">
        <v>45667</v>
      </c>
      <c r="D123" t="inlineStr">
        <is>
          <t>KALMAR LÄN</t>
        </is>
      </c>
      <c r="E123" t="inlineStr">
        <is>
          <t>HULTSFRED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20564-2019</t>
        </is>
      </c>
      <c r="B124" s="1" t="n">
        <v>43572</v>
      </c>
      <c r="C124" s="1" t="n">
        <v>45667</v>
      </c>
      <c r="D124" t="inlineStr">
        <is>
          <t>KALMAR LÄN</t>
        </is>
      </c>
      <c r="E124" t="inlineStr">
        <is>
          <t>HULTSFRED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21008-2019</t>
        </is>
      </c>
      <c r="B125" s="1" t="n">
        <v>43578</v>
      </c>
      <c r="C125" s="1" t="n">
        <v>45667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21366-2019</t>
        </is>
      </c>
      <c r="B126" s="1" t="n">
        <v>43579</v>
      </c>
      <c r="C126" s="1" t="n">
        <v>45667</v>
      </c>
      <c r="D126" t="inlineStr">
        <is>
          <t>KALMAR LÄN</t>
        </is>
      </c>
      <c r="E126" t="inlineStr">
        <is>
          <t>HULTSFRED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21868-2019</t>
        </is>
      </c>
      <c r="B127" s="1" t="n">
        <v>43584</v>
      </c>
      <c r="C127" s="1" t="n">
        <v>45667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22055-2019</t>
        </is>
      </c>
      <c r="B128" s="1" t="n">
        <v>43584</v>
      </c>
      <c r="C128" s="1" t="n">
        <v>45667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21940-2019</t>
        </is>
      </c>
      <c r="B129" s="1" t="n">
        <v>43584</v>
      </c>
      <c r="C129" s="1" t="n">
        <v>45667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21932-2019</t>
        </is>
      </c>
      <c r="B130" s="1" t="n">
        <v>43584</v>
      </c>
      <c r="C130" s="1" t="n">
        <v>45667</v>
      </c>
      <c r="D130" t="inlineStr">
        <is>
          <t>KALMAR LÄN</t>
        </is>
      </c>
      <c r="E130" t="inlineStr">
        <is>
          <t>HULTSFRED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21861-2019</t>
        </is>
      </c>
      <c r="B131" s="1" t="n">
        <v>43584</v>
      </c>
      <c r="C131" s="1" t="n">
        <v>45667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22154-2019</t>
        </is>
      </c>
      <c r="B132" s="1" t="n">
        <v>43585</v>
      </c>
      <c r="C132" s="1" t="n">
        <v>45667</v>
      </c>
      <c r="D132" t="inlineStr">
        <is>
          <t>KALMAR LÄN</t>
        </is>
      </c>
      <c r="E132" t="inlineStr">
        <is>
          <t>HULTSFRED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22518-2019</t>
        </is>
      </c>
      <c r="B133" s="1" t="n">
        <v>43587</v>
      </c>
      <c r="C133" s="1" t="n">
        <v>45667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23178-2019</t>
        </is>
      </c>
      <c r="B134" s="1" t="n">
        <v>43587</v>
      </c>
      <c r="C134" s="1" t="n">
        <v>45667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23421-2019</t>
        </is>
      </c>
      <c r="B135" s="1" t="n">
        <v>43593</v>
      </c>
      <c r="C135" s="1" t="n">
        <v>45667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23841-2019</t>
        </is>
      </c>
      <c r="B136" s="1" t="n">
        <v>43595</v>
      </c>
      <c r="C136" s="1" t="n">
        <v>45667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25282-2019</t>
        </is>
      </c>
      <c r="B137" s="1" t="n">
        <v>43605</v>
      </c>
      <c r="C137" s="1" t="n">
        <v>45667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25281-2019</t>
        </is>
      </c>
      <c r="B138" s="1" t="n">
        <v>43605</v>
      </c>
      <c r="C138" s="1" t="n">
        <v>45667</v>
      </c>
      <c r="D138" t="inlineStr">
        <is>
          <t>KALMAR LÄN</t>
        </is>
      </c>
      <c r="E138" t="inlineStr">
        <is>
          <t>HULTSFRED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28816-2019</t>
        </is>
      </c>
      <c r="B139" s="1" t="n">
        <v>43627</v>
      </c>
      <c r="C139" s="1" t="n">
        <v>45667</v>
      </c>
      <c r="D139" t="inlineStr">
        <is>
          <t>KALMAR LÄN</t>
        </is>
      </c>
      <c r="E139" t="inlineStr">
        <is>
          <t>HULTSFRED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29068-2019</t>
        </is>
      </c>
      <c r="B140" s="1" t="n">
        <v>43628</v>
      </c>
      <c r="C140" s="1" t="n">
        <v>45667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29070-2019</t>
        </is>
      </c>
      <c r="B141" s="1" t="n">
        <v>43628</v>
      </c>
      <c r="C141" s="1" t="n">
        <v>45667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29067-2019</t>
        </is>
      </c>
      <c r="B142" s="1" t="n">
        <v>43628</v>
      </c>
      <c r="C142" s="1" t="n">
        <v>45667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30114-2019</t>
        </is>
      </c>
      <c r="B143" s="1" t="n">
        <v>43633</v>
      </c>
      <c r="C143" s="1" t="n">
        <v>45667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30362-2019</t>
        </is>
      </c>
      <c r="B144" s="1" t="n">
        <v>43634</v>
      </c>
      <c r="C144" s="1" t="n">
        <v>45667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30366-2019</t>
        </is>
      </c>
      <c r="B145" s="1" t="n">
        <v>43634</v>
      </c>
      <c r="C145" s="1" t="n">
        <v>45667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30513-2019</t>
        </is>
      </c>
      <c r="B146" s="1" t="n">
        <v>43635</v>
      </c>
      <c r="C146" s="1" t="n">
        <v>45667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30517-2019</t>
        </is>
      </c>
      <c r="B147" s="1" t="n">
        <v>43635</v>
      </c>
      <c r="C147" s="1" t="n">
        <v>45667</v>
      </c>
      <c r="D147" t="inlineStr">
        <is>
          <t>KALMAR LÄN</t>
        </is>
      </c>
      <c r="E147" t="inlineStr">
        <is>
          <t>HULTSFRED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31020-2019</t>
        </is>
      </c>
      <c r="B148" s="1" t="n">
        <v>43640</v>
      </c>
      <c r="C148" s="1" t="n">
        <v>45667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31023-2019</t>
        </is>
      </c>
      <c r="B149" s="1" t="n">
        <v>43640</v>
      </c>
      <c r="C149" s="1" t="n">
        <v>45667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31863-2019</t>
        </is>
      </c>
      <c r="B150" s="1" t="n">
        <v>43641</v>
      </c>
      <c r="C150" s="1" t="n">
        <v>45667</v>
      </c>
      <c r="D150" t="inlineStr">
        <is>
          <t>KALMAR LÄN</t>
        </is>
      </c>
      <c r="E150" t="inlineStr">
        <is>
          <t>HULTSFRED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31665-2019</t>
        </is>
      </c>
      <c r="B151" s="1" t="n">
        <v>43642</v>
      </c>
      <c r="C151" s="1" t="n">
        <v>45667</v>
      </c>
      <c r="D151" t="inlineStr">
        <is>
          <t>KALMAR LÄN</t>
        </is>
      </c>
      <c r="E151" t="inlineStr">
        <is>
          <t>HULTSFRED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32010-2019</t>
        </is>
      </c>
      <c r="B152" s="1" t="n">
        <v>43643</v>
      </c>
      <c r="C152" s="1" t="n">
        <v>45667</v>
      </c>
      <c r="D152" t="inlineStr">
        <is>
          <t>KALMAR LÄN</t>
        </is>
      </c>
      <c r="E152" t="inlineStr">
        <is>
          <t>HULTSFRED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32384-2019</t>
        </is>
      </c>
      <c r="B153" s="1" t="n">
        <v>43644</v>
      </c>
      <c r="C153" s="1" t="n">
        <v>45667</v>
      </c>
      <c r="D153" t="inlineStr">
        <is>
          <t>KALMAR LÄN</t>
        </is>
      </c>
      <c r="E153" t="inlineStr">
        <is>
          <t>HULTSFRED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32715-2019</t>
        </is>
      </c>
      <c r="B154" s="1" t="n">
        <v>43647</v>
      </c>
      <c r="C154" s="1" t="n">
        <v>45667</v>
      </c>
      <c r="D154" t="inlineStr">
        <is>
          <t>KALMAR LÄN</t>
        </is>
      </c>
      <c r="E154" t="inlineStr">
        <is>
          <t>HULTSFRED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33989-2019</t>
        </is>
      </c>
      <c r="B155" s="1" t="n">
        <v>43654</v>
      </c>
      <c r="C155" s="1" t="n">
        <v>45667</v>
      </c>
      <c r="D155" t="inlineStr">
        <is>
          <t>KALMAR LÄN</t>
        </is>
      </c>
      <c r="E155" t="inlineStr">
        <is>
          <t>HULTSFRED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34416-2019</t>
        </is>
      </c>
      <c r="B156" s="1" t="n">
        <v>43656</v>
      </c>
      <c r="C156" s="1" t="n">
        <v>45667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34868-2019</t>
        </is>
      </c>
      <c r="B157" s="1" t="n">
        <v>43658</v>
      </c>
      <c r="C157" s="1" t="n">
        <v>45667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35123-2019</t>
        </is>
      </c>
      <c r="B158" s="1" t="n">
        <v>43661</v>
      </c>
      <c r="C158" s="1" t="n">
        <v>45667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35890-2019</t>
        </is>
      </c>
      <c r="B159" s="1" t="n">
        <v>43665</v>
      </c>
      <c r="C159" s="1" t="n">
        <v>45667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35884-2019</t>
        </is>
      </c>
      <c r="B160" s="1" t="n">
        <v>43665</v>
      </c>
      <c r="C160" s="1" t="n">
        <v>45667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35977-2019</t>
        </is>
      </c>
      <c r="B161" s="1" t="n">
        <v>43667</v>
      </c>
      <c r="C161" s="1" t="n">
        <v>45667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36029-2019</t>
        </is>
      </c>
      <c r="B162" s="1" t="n">
        <v>43668</v>
      </c>
      <c r="C162" s="1" t="n">
        <v>45667</v>
      </c>
      <c r="D162" t="inlineStr">
        <is>
          <t>KALMAR LÄN</t>
        </is>
      </c>
      <c r="E162" t="inlineStr">
        <is>
          <t>HULTSFRED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36281-2019</t>
        </is>
      </c>
      <c r="B163" s="1" t="n">
        <v>43669</v>
      </c>
      <c r="C163" s="1" t="n">
        <v>45667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36688-2019</t>
        </is>
      </c>
      <c r="B164" s="1" t="n">
        <v>43670</v>
      </c>
      <c r="C164" s="1" t="n">
        <v>45667</v>
      </c>
      <c r="D164" t="inlineStr">
        <is>
          <t>KALMAR LÄN</t>
        </is>
      </c>
      <c r="E164" t="inlineStr">
        <is>
          <t>HULTSFRED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36883-2019</t>
        </is>
      </c>
      <c r="B165" s="1" t="n">
        <v>43675</v>
      </c>
      <c r="C165" s="1" t="n">
        <v>45667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37177-2019</t>
        </is>
      </c>
      <c r="B166" s="1" t="n">
        <v>43677</v>
      </c>
      <c r="C166" s="1" t="n">
        <v>45667</v>
      </c>
      <c r="D166" t="inlineStr">
        <is>
          <t>KALMAR LÄN</t>
        </is>
      </c>
      <c r="E166" t="inlineStr">
        <is>
          <t>HULTSFRED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37644-2019</t>
        </is>
      </c>
      <c r="B167" s="1" t="n">
        <v>43682</v>
      </c>
      <c r="C167" s="1" t="n">
        <v>45667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37749-2019</t>
        </is>
      </c>
      <c r="B168" s="1" t="n">
        <v>43682</v>
      </c>
      <c r="C168" s="1" t="n">
        <v>45667</v>
      </c>
      <c r="D168" t="inlineStr">
        <is>
          <t>KALMAR LÄN</t>
        </is>
      </c>
      <c r="E168" t="inlineStr">
        <is>
          <t>HULTSFRED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37849-2019</t>
        </is>
      </c>
      <c r="B169" s="1" t="n">
        <v>43682</v>
      </c>
      <c r="C169" s="1" t="n">
        <v>45667</v>
      </c>
      <c r="D169" t="inlineStr">
        <is>
          <t>KALMAR LÄN</t>
        </is>
      </c>
      <c r="E169" t="inlineStr">
        <is>
          <t>HULTSFRED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38000-2019</t>
        </is>
      </c>
      <c r="B170" s="1" t="n">
        <v>43683</v>
      </c>
      <c r="C170" s="1" t="n">
        <v>45667</v>
      </c>
      <c r="D170" t="inlineStr">
        <is>
          <t>KALMAR LÄN</t>
        </is>
      </c>
      <c r="E170" t="inlineStr">
        <is>
          <t>HULTSFRED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38075-2019</t>
        </is>
      </c>
      <c r="B171" s="1" t="n">
        <v>43683</v>
      </c>
      <c r="C171" s="1" t="n">
        <v>45667</v>
      </c>
      <c r="D171" t="inlineStr">
        <is>
          <t>KALMAR LÄN</t>
        </is>
      </c>
      <c r="E171" t="inlineStr">
        <is>
          <t>HULTSFRED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37977-2019</t>
        </is>
      </c>
      <c r="B172" s="1" t="n">
        <v>43683</v>
      </c>
      <c r="C172" s="1" t="n">
        <v>45667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38880-2019</t>
        </is>
      </c>
      <c r="B173" s="1" t="n">
        <v>43689</v>
      </c>
      <c r="C173" s="1" t="n">
        <v>45667</v>
      </c>
      <c r="D173" t="inlineStr">
        <is>
          <t>KALMAR LÄN</t>
        </is>
      </c>
      <c r="E173" t="inlineStr">
        <is>
          <t>HULTSFRED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40281-2019</t>
        </is>
      </c>
      <c r="B174" s="1" t="n">
        <v>43690</v>
      </c>
      <c r="C174" s="1" t="n">
        <v>45667</v>
      </c>
      <c r="D174" t="inlineStr">
        <is>
          <t>KALMAR LÄN</t>
        </is>
      </c>
      <c r="E174" t="inlineStr">
        <is>
          <t>HULTSFRED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39665-2019</t>
        </is>
      </c>
      <c r="B175" s="1" t="n">
        <v>43691</v>
      </c>
      <c r="C175" s="1" t="n">
        <v>45667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39919-2019</t>
        </is>
      </c>
      <c r="B176" s="1" t="n">
        <v>43692</v>
      </c>
      <c r="C176" s="1" t="n">
        <v>45667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40303-2019</t>
        </is>
      </c>
      <c r="B177" s="1" t="n">
        <v>43696</v>
      </c>
      <c r="C177" s="1" t="n">
        <v>45667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40420-2019</t>
        </is>
      </c>
      <c r="B178" s="1" t="n">
        <v>43696</v>
      </c>
      <c r="C178" s="1" t="n">
        <v>45667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41819-2019</t>
        </is>
      </c>
      <c r="B179" s="1" t="n">
        <v>43697</v>
      </c>
      <c r="C179" s="1" t="n">
        <v>45667</v>
      </c>
      <c r="D179" t="inlineStr">
        <is>
          <t>KALMAR LÄN</t>
        </is>
      </c>
      <c r="E179" t="inlineStr">
        <is>
          <t>HULTSFRED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41057-2019</t>
        </is>
      </c>
      <c r="B180" s="1" t="n">
        <v>43697</v>
      </c>
      <c r="C180" s="1" t="n">
        <v>45667</v>
      </c>
      <c r="D180" t="inlineStr">
        <is>
          <t>KALMAR LÄN</t>
        </is>
      </c>
      <c r="E180" t="inlineStr">
        <is>
          <t>HULTSFRED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41407-2019</t>
        </is>
      </c>
      <c r="B181" s="1" t="n">
        <v>43698</v>
      </c>
      <c r="C181" s="1" t="n">
        <v>45667</v>
      </c>
      <c r="D181" t="inlineStr">
        <is>
          <t>KALMAR LÄN</t>
        </is>
      </c>
      <c r="E181" t="inlineStr">
        <is>
          <t>HULTSFRED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41643-2019</t>
        </is>
      </c>
      <c r="B182" s="1" t="n">
        <v>43699</v>
      </c>
      <c r="C182" s="1" t="n">
        <v>45667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41842-2019</t>
        </is>
      </c>
      <c r="B183" s="1" t="n">
        <v>43700</v>
      </c>
      <c r="C183" s="1" t="n">
        <v>45667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42106-2019</t>
        </is>
      </c>
      <c r="B184" s="1" t="n">
        <v>43702</v>
      </c>
      <c r="C184" s="1" t="n">
        <v>45667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42200-2019</t>
        </is>
      </c>
      <c r="B185" s="1" t="n">
        <v>43703</v>
      </c>
      <c r="C185" s="1" t="n">
        <v>45667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42193-2019</t>
        </is>
      </c>
      <c r="B186" s="1" t="n">
        <v>43703</v>
      </c>
      <c r="C186" s="1" t="n">
        <v>45667</v>
      </c>
      <c r="D186" t="inlineStr">
        <is>
          <t>KALMAR LÄN</t>
        </is>
      </c>
      <c r="E186" t="inlineStr">
        <is>
          <t>HULTSFRED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42294-2019</t>
        </is>
      </c>
      <c r="B187" s="1" t="n">
        <v>43703</v>
      </c>
      <c r="C187" s="1" t="n">
        <v>45667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43035-2019</t>
        </is>
      </c>
      <c r="B188" s="1" t="n">
        <v>43705</v>
      </c>
      <c r="C188" s="1" t="n">
        <v>45667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43754-2019</t>
        </is>
      </c>
      <c r="B189" s="1" t="n">
        <v>43707</v>
      </c>
      <c r="C189" s="1" t="n">
        <v>45667</v>
      </c>
      <c r="D189" t="inlineStr">
        <is>
          <t>KALMAR LÄN</t>
        </is>
      </c>
      <c r="E189" t="inlineStr">
        <is>
          <t>HULTSFRED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43875-2019</t>
        </is>
      </c>
      <c r="B190" s="1" t="n">
        <v>43707</v>
      </c>
      <c r="C190" s="1" t="n">
        <v>45667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44238-2019</t>
        </is>
      </c>
      <c r="B191" s="1" t="n">
        <v>43710</v>
      </c>
      <c r="C191" s="1" t="n">
        <v>45667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44775-2019</t>
        </is>
      </c>
      <c r="B192" s="1" t="n">
        <v>43712</v>
      </c>
      <c r="C192" s="1" t="n">
        <v>45667</v>
      </c>
      <c r="D192" t="inlineStr">
        <is>
          <t>KALMAR LÄN</t>
        </is>
      </c>
      <c r="E192" t="inlineStr">
        <is>
          <t>HULTSFRED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44616-2019</t>
        </is>
      </c>
      <c r="B193" s="1" t="n">
        <v>43712</v>
      </c>
      <c r="C193" s="1" t="n">
        <v>45667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45101-2019</t>
        </is>
      </c>
      <c r="B194" s="1" t="n">
        <v>43713</v>
      </c>
      <c r="C194" s="1" t="n">
        <v>45667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45103-2019</t>
        </is>
      </c>
      <c r="B195" s="1" t="n">
        <v>43713</v>
      </c>
      <c r="C195" s="1" t="n">
        <v>45667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45108-2019</t>
        </is>
      </c>
      <c r="B196" s="1" t="n">
        <v>43713</v>
      </c>
      <c r="C196" s="1" t="n">
        <v>45667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45535-2019</t>
        </is>
      </c>
      <c r="B197" s="1" t="n">
        <v>43714</v>
      </c>
      <c r="C197" s="1" t="n">
        <v>45667</v>
      </c>
      <c r="D197" t="inlineStr">
        <is>
          <t>KALMAR LÄN</t>
        </is>
      </c>
      <c r="E197" t="inlineStr">
        <is>
          <t>HULTSFRED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46263-2019</t>
        </is>
      </c>
      <c r="B198" s="1" t="n">
        <v>43718</v>
      </c>
      <c r="C198" s="1" t="n">
        <v>45667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46505-2019</t>
        </is>
      </c>
      <c r="B199" s="1" t="n">
        <v>43719</v>
      </c>
      <c r="C199" s="1" t="n">
        <v>45667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46440-2019</t>
        </is>
      </c>
      <c r="B200" s="1" t="n">
        <v>43719</v>
      </c>
      <c r="C200" s="1" t="n">
        <v>45667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47401-2019</t>
        </is>
      </c>
      <c r="B201" s="1" t="n">
        <v>43722</v>
      </c>
      <c r="C201" s="1" t="n">
        <v>45667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47626-2019</t>
        </is>
      </c>
      <c r="B202" s="1" t="n">
        <v>43724</v>
      </c>
      <c r="C202" s="1" t="n">
        <v>45667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47603-2019</t>
        </is>
      </c>
      <c r="B203" s="1" t="n">
        <v>43724</v>
      </c>
      <c r="C203" s="1" t="n">
        <v>45667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47592-2019</t>
        </is>
      </c>
      <c r="B204" s="1" t="n">
        <v>43724</v>
      </c>
      <c r="C204" s="1" t="n">
        <v>45667</v>
      </c>
      <c r="D204" t="inlineStr">
        <is>
          <t>KALMAR LÄN</t>
        </is>
      </c>
      <c r="E204" t="inlineStr">
        <is>
          <t>HULTSFRED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48353-2019</t>
        </is>
      </c>
      <c r="B205" s="1" t="n">
        <v>43726</v>
      </c>
      <c r="C205" s="1" t="n">
        <v>45667</v>
      </c>
      <c r="D205" t="inlineStr">
        <is>
          <t>KALMAR LÄN</t>
        </is>
      </c>
      <c r="E205" t="inlineStr">
        <is>
          <t>HULTSFRED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48333-2019</t>
        </is>
      </c>
      <c r="B206" s="1" t="n">
        <v>43726</v>
      </c>
      <c r="C206" s="1" t="n">
        <v>45667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48644-2019</t>
        </is>
      </c>
      <c r="B207" s="1" t="n">
        <v>43728</v>
      </c>
      <c r="C207" s="1" t="n">
        <v>45667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49428-2019</t>
        </is>
      </c>
      <c r="B208" s="1" t="n">
        <v>43732</v>
      </c>
      <c r="C208" s="1" t="n">
        <v>45667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49894-2019</t>
        </is>
      </c>
      <c r="B209" s="1" t="n">
        <v>43733</v>
      </c>
      <c r="C209" s="1" t="n">
        <v>45667</v>
      </c>
      <c r="D209" t="inlineStr">
        <is>
          <t>KALMAR LÄN</t>
        </is>
      </c>
      <c r="E209" t="inlineStr">
        <is>
          <t>HULTSFRED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51986-2019</t>
        </is>
      </c>
      <c r="B210" s="1" t="n">
        <v>43734</v>
      </c>
      <c r="C210" s="1" t="n">
        <v>45667</v>
      </c>
      <c r="D210" t="inlineStr">
        <is>
          <t>KALMAR LÄN</t>
        </is>
      </c>
      <c r="E210" t="inlineStr">
        <is>
          <t>HULTSFRED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50956-2019</t>
        </is>
      </c>
      <c r="B211" s="1" t="n">
        <v>43738</v>
      </c>
      <c r="C211" s="1" t="n">
        <v>45667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50955-2019</t>
        </is>
      </c>
      <c r="B212" s="1" t="n">
        <v>43738</v>
      </c>
      <c r="C212" s="1" t="n">
        <v>45667</v>
      </c>
      <c r="D212" t="inlineStr">
        <is>
          <t>KALMAR LÄN</t>
        </is>
      </c>
      <c r="E212" t="inlineStr">
        <is>
          <t>HULTSFRED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51429-2019</t>
        </is>
      </c>
      <c r="B213" s="1" t="n">
        <v>43740</v>
      </c>
      <c r="C213" s="1" t="n">
        <v>45667</v>
      </c>
      <c r="D213" t="inlineStr">
        <is>
          <t>KALMAR LÄN</t>
        </is>
      </c>
      <c r="E213" t="inlineStr">
        <is>
          <t>HULTSFRED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51650-2019</t>
        </is>
      </c>
      <c r="B214" s="1" t="n">
        <v>43740</v>
      </c>
      <c r="C214" s="1" t="n">
        <v>45667</v>
      </c>
      <c r="D214" t="inlineStr">
        <is>
          <t>KALMAR LÄN</t>
        </is>
      </c>
      <c r="E214" t="inlineStr">
        <is>
          <t>HULTSFRED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51631-2019</t>
        </is>
      </c>
      <c r="B215" s="1" t="n">
        <v>43740</v>
      </c>
      <c r="C215" s="1" t="n">
        <v>45667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51414-2019</t>
        </is>
      </c>
      <c r="B216" s="1" t="n">
        <v>43740</v>
      </c>
      <c r="C216" s="1" t="n">
        <v>45667</v>
      </c>
      <c r="D216" t="inlineStr">
        <is>
          <t>KALMAR LÄN</t>
        </is>
      </c>
      <c r="E216" t="inlineStr">
        <is>
          <t>HULTSFRED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51428-2019</t>
        </is>
      </c>
      <c r="B217" s="1" t="n">
        <v>43740</v>
      </c>
      <c r="C217" s="1" t="n">
        <v>45667</v>
      </c>
      <c r="D217" t="inlineStr">
        <is>
          <t>KALMAR LÄN</t>
        </is>
      </c>
      <c r="E217" t="inlineStr">
        <is>
          <t>HULTSFRED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51999-2019</t>
        </is>
      </c>
      <c r="B218" s="1" t="n">
        <v>43742</v>
      </c>
      <c r="C218" s="1" t="n">
        <v>45667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51998-2019</t>
        </is>
      </c>
      <c r="B219" s="1" t="n">
        <v>43742</v>
      </c>
      <c r="C219" s="1" t="n">
        <v>45667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52109-2019</t>
        </is>
      </c>
      <c r="B220" s="1" t="n">
        <v>43742</v>
      </c>
      <c r="C220" s="1" t="n">
        <v>45667</v>
      </c>
      <c r="D220" t="inlineStr">
        <is>
          <t>KALMAR LÄN</t>
        </is>
      </c>
      <c r="E220" t="inlineStr">
        <is>
          <t>HULTSFRED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52113-2019</t>
        </is>
      </c>
      <c r="B221" s="1" t="n">
        <v>43742</v>
      </c>
      <c r="C221" s="1" t="n">
        <v>45667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52119-2019</t>
        </is>
      </c>
      <c r="B222" s="1" t="n">
        <v>43742</v>
      </c>
      <c r="C222" s="1" t="n">
        <v>45667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52142-2019</t>
        </is>
      </c>
      <c r="B223" s="1" t="n">
        <v>43742</v>
      </c>
      <c r="C223" s="1" t="n">
        <v>45667</v>
      </c>
      <c r="D223" t="inlineStr">
        <is>
          <t>KALMAR LÄN</t>
        </is>
      </c>
      <c r="E223" t="inlineStr">
        <is>
          <t>HULTSFRED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52376-2019</t>
        </is>
      </c>
      <c r="B224" s="1" t="n">
        <v>43745</v>
      </c>
      <c r="C224" s="1" t="n">
        <v>45667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52800-2019</t>
        </is>
      </c>
      <c r="B225" s="1" t="n">
        <v>43746</v>
      </c>
      <c r="C225" s="1" t="n">
        <v>45667</v>
      </c>
      <c r="D225" t="inlineStr">
        <is>
          <t>KALMAR LÄN</t>
        </is>
      </c>
      <c r="E225" t="inlineStr">
        <is>
          <t>HULTSFRED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52608-2019</t>
        </is>
      </c>
      <c r="B226" s="1" t="n">
        <v>43746</v>
      </c>
      <c r="C226" s="1" t="n">
        <v>45667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52895-2019</t>
        </is>
      </c>
      <c r="B227" s="1" t="n">
        <v>43746</v>
      </c>
      <c r="C227" s="1" t="n">
        <v>45667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53027-2019</t>
        </is>
      </c>
      <c r="B228" s="1" t="n">
        <v>43747</v>
      </c>
      <c r="C228" s="1" t="n">
        <v>45667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53423-2019</t>
        </is>
      </c>
      <c r="B229" s="1" t="n">
        <v>43748</v>
      </c>
      <c r="C229" s="1" t="n">
        <v>45667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53805-2019</t>
        </is>
      </c>
      <c r="B230" s="1" t="n">
        <v>43751</v>
      </c>
      <c r="C230" s="1" t="n">
        <v>45667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54651-2019</t>
        </is>
      </c>
      <c r="B231" s="1" t="n">
        <v>43754</v>
      </c>
      <c r="C231" s="1" t="n">
        <v>45667</v>
      </c>
      <c r="D231" t="inlineStr">
        <is>
          <t>KALMAR LÄN</t>
        </is>
      </c>
      <c r="E231" t="inlineStr">
        <is>
          <t>HULTSFRED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55118-2019</t>
        </is>
      </c>
      <c r="B232" s="1" t="n">
        <v>43756</v>
      </c>
      <c r="C232" s="1" t="n">
        <v>45667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56296-2019</t>
        </is>
      </c>
      <c r="B233" s="1" t="n">
        <v>43756</v>
      </c>
      <c r="C233" s="1" t="n">
        <v>45667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56386-2019</t>
        </is>
      </c>
      <c r="B234" s="1" t="n">
        <v>43756</v>
      </c>
      <c r="C234" s="1" t="n">
        <v>45667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56449-2019</t>
        </is>
      </c>
      <c r="B235" s="1" t="n">
        <v>43756</v>
      </c>
      <c r="C235" s="1" t="n">
        <v>45667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56392-2019</t>
        </is>
      </c>
      <c r="B236" s="1" t="n">
        <v>43756</v>
      </c>
      <c r="C236" s="1" t="n">
        <v>45667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55501-2019</t>
        </is>
      </c>
      <c r="B237" s="1" t="n">
        <v>43760</v>
      </c>
      <c r="C237" s="1" t="n">
        <v>45667</v>
      </c>
      <c r="D237" t="inlineStr">
        <is>
          <t>KALMAR LÄN</t>
        </is>
      </c>
      <c r="E237" t="inlineStr">
        <is>
          <t>HULTSFRED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56458-2019</t>
        </is>
      </c>
      <c r="B238" s="1" t="n">
        <v>43762</v>
      </c>
      <c r="C238" s="1" t="n">
        <v>45667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56459-2019</t>
        </is>
      </c>
      <c r="B239" s="1" t="n">
        <v>43762</v>
      </c>
      <c r="C239" s="1" t="n">
        <v>45667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56828-2019</t>
        </is>
      </c>
      <c r="B240" s="1" t="n">
        <v>43764</v>
      </c>
      <c r="C240" s="1" t="n">
        <v>45667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57351-2019</t>
        </is>
      </c>
      <c r="B241" s="1" t="n">
        <v>43767</v>
      </c>
      <c r="C241" s="1" t="n">
        <v>45667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57532-2019</t>
        </is>
      </c>
      <c r="B242" s="1" t="n">
        <v>43767</v>
      </c>
      <c r="C242" s="1" t="n">
        <v>45667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57535-2019</t>
        </is>
      </c>
      <c r="B243" s="1" t="n">
        <v>43767</v>
      </c>
      <c r="C243" s="1" t="n">
        <v>45667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57894-2019</t>
        </is>
      </c>
      <c r="B244" s="1" t="n">
        <v>43769</v>
      </c>
      <c r="C244" s="1" t="n">
        <v>45667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57900-2019</t>
        </is>
      </c>
      <c r="B245" s="1" t="n">
        <v>43769</v>
      </c>
      <c r="C245" s="1" t="n">
        <v>45667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58008-2019</t>
        </is>
      </c>
      <c r="B246" s="1" t="n">
        <v>43769</v>
      </c>
      <c r="C246" s="1" t="n">
        <v>45667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57902-2019</t>
        </is>
      </c>
      <c r="B247" s="1" t="n">
        <v>43769</v>
      </c>
      <c r="C247" s="1" t="n">
        <v>45667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58026-2019</t>
        </is>
      </c>
      <c r="B248" s="1" t="n">
        <v>43769</v>
      </c>
      <c r="C248" s="1" t="n">
        <v>45667</v>
      </c>
      <c r="D248" t="inlineStr">
        <is>
          <t>KALMAR LÄN</t>
        </is>
      </c>
      <c r="E248" t="inlineStr">
        <is>
          <t>HULTSFRED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58397-2019</t>
        </is>
      </c>
      <c r="B249" s="1" t="n">
        <v>43772</v>
      </c>
      <c r="C249" s="1" t="n">
        <v>45667</v>
      </c>
      <c r="D249" t="inlineStr">
        <is>
          <t>KALMAR LÄN</t>
        </is>
      </c>
      <c r="E249" t="inlineStr">
        <is>
          <t>HULTSFRED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59041-2019</t>
        </is>
      </c>
      <c r="B250" s="1" t="n">
        <v>43774</v>
      </c>
      <c r="C250" s="1" t="n">
        <v>45667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59616-2019</t>
        </is>
      </c>
      <c r="B251" s="1" t="n">
        <v>43776</v>
      </c>
      <c r="C251" s="1" t="n">
        <v>45667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59639-2019</t>
        </is>
      </c>
      <c r="B252" s="1" t="n">
        <v>43776</v>
      </c>
      <c r="C252" s="1" t="n">
        <v>45667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59694-2019</t>
        </is>
      </c>
      <c r="B253" s="1" t="n">
        <v>43776</v>
      </c>
      <c r="C253" s="1" t="n">
        <v>45667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59622-2019</t>
        </is>
      </c>
      <c r="B254" s="1" t="n">
        <v>43776</v>
      </c>
      <c r="C254" s="1" t="n">
        <v>45667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59645-2019</t>
        </is>
      </c>
      <c r="B255" s="1" t="n">
        <v>43776</v>
      </c>
      <c r="C255" s="1" t="n">
        <v>45667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59705-2019</t>
        </is>
      </c>
      <c r="B256" s="1" t="n">
        <v>43776</v>
      </c>
      <c r="C256" s="1" t="n">
        <v>45667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59812-2019</t>
        </is>
      </c>
      <c r="B257" s="1" t="n">
        <v>43776</v>
      </c>
      <c r="C257" s="1" t="n">
        <v>45667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60101-2019</t>
        </is>
      </c>
      <c r="B258" s="1" t="n">
        <v>43777</v>
      </c>
      <c r="C258" s="1" t="n">
        <v>45667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60324-2019</t>
        </is>
      </c>
      <c r="B259" s="1" t="n">
        <v>43780</v>
      </c>
      <c r="C259" s="1" t="n">
        <v>45667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60932-2019</t>
        </is>
      </c>
      <c r="B260" s="1" t="n">
        <v>43780</v>
      </c>
      <c r="C260" s="1" t="n">
        <v>45667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60277-2019</t>
        </is>
      </c>
      <c r="B261" s="1" t="n">
        <v>43780</v>
      </c>
      <c r="C261" s="1" t="n">
        <v>45667</v>
      </c>
      <c r="D261" t="inlineStr">
        <is>
          <t>KALMAR LÄN</t>
        </is>
      </c>
      <c r="E261" t="inlineStr">
        <is>
          <t>HULTSFRED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61164-2019</t>
        </is>
      </c>
      <c r="B262" s="1" t="n">
        <v>43782</v>
      </c>
      <c r="C262" s="1" t="n">
        <v>45667</v>
      </c>
      <c r="D262" t="inlineStr">
        <is>
          <t>KALMAR LÄN</t>
        </is>
      </c>
      <c r="E262" t="inlineStr">
        <is>
          <t>HULTSFRED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61298-2019</t>
        </is>
      </c>
      <c r="B263" s="1" t="n">
        <v>43783</v>
      </c>
      <c r="C263" s="1" t="n">
        <v>45667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61327-2019</t>
        </is>
      </c>
      <c r="B264" s="1" t="n">
        <v>43783</v>
      </c>
      <c r="C264" s="1" t="n">
        <v>45667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61329-2019</t>
        </is>
      </c>
      <c r="B265" s="1" t="n">
        <v>43783</v>
      </c>
      <c r="C265" s="1" t="n">
        <v>45667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63432-2019</t>
        </is>
      </c>
      <c r="B266" s="1" t="n">
        <v>43794</v>
      </c>
      <c r="C266" s="1" t="n">
        <v>45667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63539-2019</t>
        </is>
      </c>
      <c r="B267" s="1" t="n">
        <v>43794</v>
      </c>
      <c r="C267" s="1" t="n">
        <v>45667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63762-2019</t>
        </is>
      </c>
      <c r="B268" s="1" t="n">
        <v>43795</v>
      </c>
      <c r="C268" s="1" t="n">
        <v>45667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64215-2019</t>
        </is>
      </c>
      <c r="B269" s="1" t="n">
        <v>43797</v>
      </c>
      <c r="C269" s="1" t="n">
        <v>45667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64212-2019</t>
        </is>
      </c>
      <c r="B270" s="1" t="n">
        <v>43797</v>
      </c>
      <c r="C270" s="1" t="n">
        <v>45667</v>
      </c>
      <c r="D270" t="inlineStr">
        <is>
          <t>KALMAR LÄN</t>
        </is>
      </c>
      <c r="E270" t="inlineStr">
        <is>
          <t>HULTSFRED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64210-2019</t>
        </is>
      </c>
      <c r="B271" s="1" t="n">
        <v>43797</v>
      </c>
      <c r="C271" s="1" t="n">
        <v>45667</v>
      </c>
      <c r="D271" t="inlineStr">
        <is>
          <t>KALMAR LÄN</t>
        </is>
      </c>
      <c r="E271" t="inlineStr">
        <is>
          <t>HULTSFRED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64732-2019</t>
        </is>
      </c>
      <c r="B272" s="1" t="n">
        <v>43800</v>
      </c>
      <c r="C272" s="1" t="n">
        <v>45667</v>
      </c>
      <c r="D272" t="inlineStr">
        <is>
          <t>KALMAR LÄN</t>
        </is>
      </c>
      <c r="E272" t="inlineStr">
        <is>
          <t>HULTSFRED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65427-2019</t>
        </is>
      </c>
      <c r="B273" s="1" t="n">
        <v>43803</v>
      </c>
      <c r="C273" s="1" t="n">
        <v>45667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65537-2019</t>
        </is>
      </c>
      <c r="B274" s="1" t="n">
        <v>43803</v>
      </c>
      <c r="C274" s="1" t="n">
        <v>45667</v>
      </c>
      <c r="D274" t="inlineStr">
        <is>
          <t>KALMAR LÄN</t>
        </is>
      </c>
      <c r="E274" t="inlineStr">
        <is>
          <t>HULTSFRED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65420-2019</t>
        </is>
      </c>
      <c r="B275" s="1" t="n">
        <v>43803</v>
      </c>
      <c r="C275" s="1" t="n">
        <v>45667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67076-2019</t>
        </is>
      </c>
      <c r="B276" s="1" t="n">
        <v>43807</v>
      </c>
      <c r="C276" s="1" t="n">
        <v>45667</v>
      </c>
      <c r="D276" t="inlineStr">
        <is>
          <t>KALMAR LÄN</t>
        </is>
      </c>
      <c r="E276" t="inlineStr">
        <is>
          <t>HULTSFRED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66178-2019</t>
        </is>
      </c>
      <c r="B277" s="1" t="n">
        <v>43808</v>
      </c>
      <c r="C277" s="1" t="n">
        <v>45667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66180-2019</t>
        </is>
      </c>
      <c r="B278" s="1" t="n">
        <v>43808</v>
      </c>
      <c r="C278" s="1" t="n">
        <v>45667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66174-2019</t>
        </is>
      </c>
      <c r="B279" s="1" t="n">
        <v>43808</v>
      </c>
      <c r="C279" s="1" t="n">
        <v>45667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66184-2019</t>
        </is>
      </c>
      <c r="B280" s="1" t="n">
        <v>43808</v>
      </c>
      <c r="C280" s="1" t="n">
        <v>45667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66841-2019</t>
        </is>
      </c>
      <c r="B281" s="1" t="n">
        <v>43810</v>
      </c>
      <c r="C281" s="1" t="n">
        <v>45667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66773-2019</t>
        </is>
      </c>
      <c r="B282" s="1" t="n">
        <v>43810</v>
      </c>
      <c r="C282" s="1" t="n">
        <v>45667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66770-2019</t>
        </is>
      </c>
      <c r="B283" s="1" t="n">
        <v>43810</v>
      </c>
      <c r="C283" s="1" t="n">
        <v>45667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66843-2019</t>
        </is>
      </c>
      <c r="B284" s="1" t="n">
        <v>43810</v>
      </c>
      <c r="C284" s="1" t="n">
        <v>45667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66842-2019</t>
        </is>
      </c>
      <c r="B285" s="1" t="n">
        <v>43810</v>
      </c>
      <c r="C285" s="1" t="n">
        <v>45667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67186-2019</t>
        </is>
      </c>
      <c r="B286" s="1" t="n">
        <v>43811</v>
      </c>
      <c r="C286" s="1" t="n">
        <v>45667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67184-2019</t>
        </is>
      </c>
      <c r="B287" s="1" t="n">
        <v>43811</v>
      </c>
      <c r="C287" s="1" t="n">
        <v>45667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67185-2019</t>
        </is>
      </c>
      <c r="B288" s="1" t="n">
        <v>43811</v>
      </c>
      <c r="C288" s="1" t="n">
        <v>45667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67489-2019</t>
        </is>
      </c>
      <c r="B289" s="1" t="n">
        <v>43815</v>
      </c>
      <c r="C289" s="1" t="n">
        <v>45667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68036-2019</t>
        </is>
      </c>
      <c r="B290" s="1" t="n">
        <v>43816</v>
      </c>
      <c r="C290" s="1" t="n">
        <v>45667</v>
      </c>
      <c r="D290" t="inlineStr">
        <is>
          <t>KALMAR LÄN</t>
        </is>
      </c>
      <c r="E290" t="inlineStr">
        <is>
          <t>HULTSFRED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67876-2019</t>
        </is>
      </c>
      <c r="B291" s="1" t="n">
        <v>43816</v>
      </c>
      <c r="C291" s="1" t="n">
        <v>45667</v>
      </c>
      <c r="D291" t="inlineStr">
        <is>
          <t>KALMAR LÄN</t>
        </is>
      </c>
      <c r="E291" t="inlineStr">
        <is>
          <t>HULTSFRED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68275-2019</t>
        </is>
      </c>
      <c r="B292" s="1" t="n">
        <v>43817</v>
      </c>
      <c r="C292" s="1" t="n">
        <v>45667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153-2020</t>
        </is>
      </c>
      <c r="B293" s="1" t="n">
        <v>43833</v>
      </c>
      <c r="C293" s="1" t="n">
        <v>45667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156-2020</t>
        </is>
      </c>
      <c r="B294" s="1" t="n">
        <v>43833</v>
      </c>
      <c r="C294" s="1" t="n">
        <v>45667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655-2020</t>
        </is>
      </c>
      <c r="B295" s="1" t="n">
        <v>43838</v>
      </c>
      <c r="C295" s="1" t="n">
        <v>45667</v>
      </c>
      <c r="D295" t="inlineStr">
        <is>
          <t>KALMAR LÄN</t>
        </is>
      </c>
      <c r="E295" t="inlineStr">
        <is>
          <t>HULTSFRED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1301-2020</t>
        </is>
      </c>
      <c r="B296" s="1" t="n">
        <v>43842</v>
      </c>
      <c r="C296" s="1" t="n">
        <v>45667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1539-2020</t>
        </is>
      </c>
      <c r="B297" s="1" t="n">
        <v>43843</v>
      </c>
      <c r="C297" s="1" t="n">
        <v>45667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2596-2020</t>
        </is>
      </c>
      <c r="B298" s="1" t="n">
        <v>43847</v>
      </c>
      <c r="C298" s="1" t="n">
        <v>45667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2463-2020</t>
        </is>
      </c>
      <c r="B299" s="1" t="n">
        <v>43847</v>
      </c>
      <c r="C299" s="1" t="n">
        <v>45667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2504-2020</t>
        </is>
      </c>
      <c r="B300" s="1" t="n">
        <v>43847</v>
      </c>
      <c r="C300" s="1" t="n">
        <v>45667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4236-2020</t>
        </is>
      </c>
      <c r="B301" s="1" t="n">
        <v>43847</v>
      </c>
      <c r="C301" s="1" t="n">
        <v>45667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4232-2020</t>
        </is>
      </c>
      <c r="B302" s="1" t="n">
        <v>43847</v>
      </c>
      <c r="C302" s="1" t="n">
        <v>45667</v>
      </c>
      <c r="D302" t="inlineStr">
        <is>
          <t>KALMAR LÄN</t>
        </is>
      </c>
      <c r="E302" t="inlineStr">
        <is>
          <t>HULTSFRED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2860-2020</t>
        </is>
      </c>
      <c r="B303" s="1" t="n">
        <v>43850</v>
      </c>
      <c r="C303" s="1" t="n">
        <v>45667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2865-2020</t>
        </is>
      </c>
      <c r="B304" s="1" t="n">
        <v>43850</v>
      </c>
      <c r="C304" s="1" t="n">
        <v>45667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2898-2020</t>
        </is>
      </c>
      <c r="B305" s="1" t="n">
        <v>43850</v>
      </c>
      <c r="C305" s="1" t="n">
        <v>45667</v>
      </c>
      <c r="D305" t="inlineStr">
        <is>
          <t>KALMAR LÄN</t>
        </is>
      </c>
      <c r="E305" t="inlineStr">
        <is>
          <t>HULTSFRED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4687-2020</t>
        </is>
      </c>
      <c r="B306" s="1" t="n">
        <v>43858</v>
      </c>
      <c r="C306" s="1" t="n">
        <v>45667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4689-2020</t>
        </is>
      </c>
      <c r="B307" s="1" t="n">
        <v>43858</v>
      </c>
      <c r="C307" s="1" t="n">
        <v>45667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4733-2020</t>
        </is>
      </c>
      <c r="B308" s="1" t="n">
        <v>43859</v>
      </c>
      <c r="C308" s="1" t="n">
        <v>45667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5810-2020</t>
        </is>
      </c>
      <c r="B309" s="1" t="n">
        <v>43864</v>
      </c>
      <c r="C309" s="1" t="n">
        <v>45667</v>
      </c>
      <c r="D309" t="inlineStr">
        <is>
          <t>KALMAR LÄN</t>
        </is>
      </c>
      <c r="E309" t="inlineStr">
        <is>
          <t>HULTSFRED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6133-2020</t>
        </is>
      </c>
      <c r="B310" s="1" t="n">
        <v>43865</v>
      </c>
      <c r="C310" s="1" t="n">
        <v>45667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6135-2020</t>
        </is>
      </c>
      <c r="B311" s="1" t="n">
        <v>43865</v>
      </c>
      <c r="C311" s="1" t="n">
        <v>45667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6793-2020</t>
        </is>
      </c>
      <c r="B312" s="1" t="n">
        <v>43867</v>
      </c>
      <c r="C312" s="1" t="n">
        <v>45667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7746-2020</t>
        </is>
      </c>
      <c r="B313" s="1" t="n">
        <v>43872</v>
      </c>
      <c r="C313" s="1" t="n">
        <v>45667</v>
      </c>
      <c r="D313" t="inlineStr">
        <is>
          <t>KALMAR LÄN</t>
        </is>
      </c>
      <c r="E313" t="inlineStr">
        <is>
          <t>HULTSFRED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7554-2020</t>
        </is>
      </c>
      <c r="B314" s="1" t="n">
        <v>43872</v>
      </c>
      <c r="C314" s="1" t="n">
        <v>45667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7933-2020</t>
        </is>
      </c>
      <c r="B315" s="1" t="n">
        <v>43873</v>
      </c>
      <c r="C315" s="1" t="n">
        <v>45667</v>
      </c>
      <c r="D315" t="inlineStr">
        <is>
          <t>KALMAR LÄN</t>
        </is>
      </c>
      <c r="E315" t="inlineStr">
        <is>
          <t>HULTSFRED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7793-2020</t>
        </is>
      </c>
      <c r="B316" s="1" t="n">
        <v>43873</v>
      </c>
      <c r="C316" s="1" t="n">
        <v>45667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8805-2020</t>
        </is>
      </c>
      <c r="B317" s="1" t="n">
        <v>43878</v>
      </c>
      <c r="C317" s="1" t="n">
        <v>45667</v>
      </c>
      <c r="D317" t="inlineStr">
        <is>
          <t>KALMAR LÄN</t>
        </is>
      </c>
      <c r="E317" t="inlineStr">
        <is>
          <t>HULTSFRED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8818-2020</t>
        </is>
      </c>
      <c r="B318" s="1" t="n">
        <v>43878</v>
      </c>
      <c r="C318" s="1" t="n">
        <v>45667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8999-2020</t>
        </is>
      </c>
      <c r="B319" s="1" t="n">
        <v>43879</v>
      </c>
      <c r="C319" s="1" t="n">
        <v>45667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8996-2020</t>
        </is>
      </c>
      <c r="B320" s="1" t="n">
        <v>43879</v>
      </c>
      <c r="C320" s="1" t="n">
        <v>45667</v>
      </c>
      <c r="D320" t="inlineStr">
        <is>
          <t>KALMAR LÄN</t>
        </is>
      </c>
      <c r="E320" t="inlineStr">
        <is>
          <t>HULTSFRED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9107-2020</t>
        </is>
      </c>
      <c r="B321" s="1" t="n">
        <v>43879</v>
      </c>
      <c r="C321" s="1" t="n">
        <v>45667</v>
      </c>
      <c r="D321" t="inlineStr">
        <is>
          <t>KALMAR LÄN</t>
        </is>
      </c>
      <c r="E321" t="inlineStr">
        <is>
          <t>HULTSFRED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9280-2020</t>
        </is>
      </c>
      <c r="B322" s="1" t="n">
        <v>43880</v>
      </c>
      <c r="C322" s="1" t="n">
        <v>45667</v>
      </c>
      <c r="D322" t="inlineStr">
        <is>
          <t>KALMAR LÄN</t>
        </is>
      </c>
      <c r="E322" t="inlineStr">
        <is>
          <t>HULTSFRED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9918-2020</t>
        </is>
      </c>
      <c r="B323" s="1" t="n">
        <v>43882</v>
      </c>
      <c r="C323" s="1" t="n">
        <v>45667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10259-2020</t>
        </is>
      </c>
      <c r="B324" s="1" t="n">
        <v>43885</v>
      </c>
      <c r="C324" s="1" t="n">
        <v>45667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11181-2020</t>
        </is>
      </c>
      <c r="B325" s="1" t="n">
        <v>43886</v>
      </c>
      <c r="C325" s="1" t="n">
        <v>45667</v>
      </c>
      <c r="D325" t="inlineStr">
        <is>
          <t>KALMAR LÄN</t>
        </is>
      </c>
      <c r="E325" t="inlineStr">
        <is>
          <t>HULTSFRED</t>
        </is>
      </c>
      <c r="G325" t="n">
        <v>21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10677-2020</t>
        </is>
      </c>
      <c r="B326" s="1" t="n">
        <v>43887</v>
      </c>
      <c r="C326" s="1" t="n">
        <v>45667</v>
      </c>
      <c r="D326" t="inlineStr">
        <is>
          <t>KALMAR LÄN</t>
        </is>
      </c>
      <c r="E326" t="inlineStr">
        <is>
          <t>HULTSFRED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10867-2020</t>
        </is>
      </c>
      <c r="B327" s="1" t="n">
        <v>43889</v>
      </c>
      <c r="C327" s="1" t="n">
        <v>45667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10869-2020</t>
        </is>
      </c>
      <c r="B328" s="1" t="n">
        <v>43889</v>
      </c>
      <c r="C328" s="1" t="n">
        <v>45667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11196-2020</t>
        </is>
      </c>
      <c r="B329" s="1" t="n">
        <v>43892</v>
      </c>
      <c r="C329" s="1" t="n">
        <v>45667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14174-2020</t>
        </is>
      </c>
      <c r="B330" s="1" t="n">
        <v>43899</v>
      </c>
      <c r="C330" s="1" t="n">
        <v>45667</v>
      </c>
      <c r="D330" t="inlineStr">
        <is>
          <t>KALMAR LÄN</t>
        </is>
      </c>
      <c r="E330" t="inlineStr">
        <is>
          <t>HULTSFRED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13045-2020</t>
        </is>
      </c>
      <c r="B331" s="1" t="n">
        <v>43900</v>
      </c>
      <c r="C331" s="1" t="n">
        <v>45667</v>
      </c>
      <c r="D331" t="inlineStr">
        <is>
          <t>KALMAR LÄN</t>
        </is>
      </c>
      <c r="E331" t="inlineStr">
        <is>
          <t>HULTSFRED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13046-2020</t>
        </is>
      </c>
      <c r="B332" s="1" t="n">
        <v>43900</v>
      </c>
      <c r="C332" s="1" t="n">
        <v>45667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13550-2020</t>
        </is>
      </c>
      <c r="B333" s="1" t="n">
        <v>43902</v>
      </c>
      <c r="C333" s="1" t="n">
        <v>45667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14002-2020</t>
        </is>
      </c>
      <c r="B334" s="1" t="n">
        <v>43906</v>
      </c>
      <c r="C334" s="1" t="n">
        <v>45667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14178-2020</t>
        </is>
      </c>
      <c r="B335" s="1" t="n">
        <v>43907</v>
      </c>
      <c r="C335" s="1" t="n">
        <v>45667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14960-2020</t>
        </is>
      </c>
      <c r="B336" s="1" t="n">
        <v>43910</v>
      </c>
      <c r="C336" s="1" t="n">
        <v>45667</v>
      </c>
      <c r="D336" t="inlineStr">
        <is>
          <t>KALMAR LÄN</t>
        </is>
      </c>
      <c r="E336" t="inlineStr">
        <is>
          <t>HULTSFRED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16832-2020</t>
        </is>
      </c>
      <c r="B337" s="1" t="n">
        <v>43910</v>
      </c>
      <c r="C337" s="1" t="n">
        <v>45667</v>
      </c>
      <c r="D337" t="inlineStr">
        <is>
          <t>KALMAR LÄN</t>
        </is>
      </c>
      <c r="E337" t="inlineStr">
        <is>
          <t>HULTSFRED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15350-2020</t>
        </is>
      </c>
      <c r="B338" s="1" t="n">
        <v>43913</v>
      </c>
      <c r="C338" s="1" t="n">
        <v>45667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15356-2020</t>
        </is>
      </c>
      <c r="B339" s="1" t="n">
        <v>43913</v>
      </c>
      <c r="C339" s="1" t="n">
        <v>45667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15352-2020</t>
        </is>
      </c>
      <c r="B340" s="1" t="n">
        <v>43913</v>
      </c>
      <c r="C340" s="1" t="n">
        <v>45667</v>
      </c>
      <c r="D340" t="inlineStr">
        <is>
          <t>KALMAR LÄN</t>
        </is>
      </c>
      <c r="E340" t="inlineStr">
        <is>
          <t>HULTSFRED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15206-2020</t>
        </is>
      </c>
      <c r="B341" s="1" t="n">
        <v>43913</v>
      </c>
      <c r="C341" s="1" t="n">
        <v>45667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15981-2020</t>
        </is>
      </c>
      <c r="B342" s="1" t="n">
        <v>43916</v>
      </c>
      <c r="C342" s="1" t="n">
        <v>45667</v>
      </c>
      <c r="D342" t="inlineStr">
        <is>
          <t>KALMAR LÄN</t>
        </is>
      </c>
      <c r="E342" t="inlineStr">
        <is>
          <t>HULTSFRED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16934-2020</t>
        </is>
      </c>
      <c r="B343" s="1" t="n">
        <v>43921</v>
      </c>
      <c r="C343" s="1" t="n">
        <v>45667</v>
      </c>
      <c r="D343" t="inlineStr">
        <is>
          <t>KALMAR LÄN</t>
        </is>
      </c>
      <c r="E343" t="inlineStr">
        <is>
          <t>HULTSFRED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16850-2020</t>
        </is>
      </c>
      <c r="B344" s="1" t="n">
        <v>43921</v>
      </c>
      <c r="C344" s="1" t="n">
        <v>45667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17058-2020</t>
        </is>
      </c>
      <c r="B345" s="1" t="n">
        <v>43921</v>
      </c>
      <c r="C345" s="1" t="n">
        <v>45667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17119-2020</t>
        </is>
      </c>
      <c r="B346" s="1" t="n">
        <v>43922</v>
      </c>
      <c r="C346" s="1" t="n">
        <v>45667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17928-2020</t>
        </is>
      </c>
      <c r="B347" s="1" t="n">
        <v>43924</v>
      </c>
      <c r="C347" s="1" t="n">
        <v>45667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17938-2020</t>
        </is>
      </c>
      <c r="B348" s="1" t="n">
        <v>43924</v>
      </c>
      <c r="C348" s="1" t="n">
        <v>45667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17933-2020</t>
        </is>
      </c>
      <c r="B349" s="1" t="n">
        <v>43924</v>
      </c>
      <c r="C349" s="1" t="n">
        <v>45667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17937-2020</t>
        </is>
      </c>
      <c r="B350" s="1" t="n">
        <v>43924</v>
      </c>
      <c r="C350" s="1" t="n">
        <v>45667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17932-2020</t>
        </is>
      </c>
      <c r="B351" s="1" t="n">
        <v>43924</v>
      </c>
      <c r="C351" s="1" t="n">
        <v>45667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18465-2020</t>
        </is>
      </c>
      <c r="B352" s="1" t="n">
        <v>43929</v>
      </c>
      <c r="C352" s="1" t="n">
        <v>45667</v>
      </c>
      <c r="D352" t="inlineStr">
        <is>
          <t>KALMAR LÄN</t>
        </is>
      </c>
      <c r="E352" t="inlineStr">
        <is>
          <t>HULTSFRED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19069-2020</t>
        </is>
      </c>
      <c r="B353" s="1" t="n">
        <v>43936</v>
      </c>
      <c r="C353" s="1" t="n">
        <v>45667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20029-2020</t>
        </is>
      </c>
      <c r="B354" s="1" t="n">
        <v>43943</v>
      </c>
      <c r="C354" s="1" t="n">
        <v>45667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21205-2020</t>
        </is>
      </c>
      <c r="B355" s="1" t="n">
        <v>43951</v>
      </c>
      <c r="C355" s="1" t="n">
        <v>45667</v>
      </c>
      <c r="D355" t="inlineStr">
        <is>
          <t>KALMAR LÄN</t>
        </is>
      </c>
      <c r="E355" t="inlineStr">
        <is>
          <t>HULTSFRED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21206-2020</t>
        </is>
      </c>
      <c r="B356" s="1" t="n">
        <v>43951</v>
      </c>
      <c r="C356" s="1" t="n">
        <v>45667</v>
      </c>
      <c r="D356" t="inlineStr">
        <is>
          <t>KALMAR LÄN</t>
        </is>
      </c>
      <c r="E356" t="inlineStr">
        <is>
          <t>HULTSFRED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21273-2020</t>
        </is>
      </c>
      <c r="B357" s="1" t="n">
        <v>43955</v>
      </c>
      <c r="C357" s="1" t="n">
        <v>45667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21788-2020</t>
        </is>
      </c>
      <c r="B358" s="1" t="n">
        <v>43958</v>
      </c>
      <c r="C358" s="1" t="n">
        <v>45667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22119-2020</t>
        </is>
      </c>
      <c r="B359" s="1" t="n">
        <v>43960</v>
      </c>
      <c r="C359" s="1" t="n">
        <v>45667</v>
      </c>
      <c r="D359" t="inlineStr">
        <is>
          <t>KALMAR LÄN</t>
        </is>
      </c>
      <c r="E359" t="inlineStr">
        <is>
          <t>HULTSFRED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22118-2020</t>
        </is>
      </c>
      <c r="B360" s="1" t="n">
        <v>43960</v>
      </c>
      <c r="C360" s="1" t="n">
        <v>45667</v>
      </c>
      <c r="D360" t="inlineStr">
        <is>
          <t>KALMAR LÄN</t>
        </is>
      </c>
      <c r="E360" t="inlineStr">
        <is>
          <t>HULTSFRED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23061-2020</t>
        </is>
      </c>
      <c r="B361" s="1" t="n">
        <v>43964</v>
      </c>
      <c r="C361" s="1" t="n">
        <v>45667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23064-2020</t>
        </is>
      </c>
      <c r="B362" s="1" t="n">
        <v>43964</v>
      </c>
      <c r="C362" s="1" t="n">
        <v>45667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22985-2020</t>
        </is>
      </c>
      <c r="B363" s="1" t="n">
        <v>43965</v>
      </c>
      <c r="C363" s="1" t="n">
        <v>45667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22989-2020</t>
        </is>
      </c>
      <c r="B364" s="1" t="n">
        <v>43965</v>
      </c>
      <c r="C364" s="1" t="n">
        <v>45667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23436-2020</t>
        </is>
      </c>
      <c r="B365" s="1" t="n">
        <v>43969</v>
      </c>
      <c r="C365" s="1" t="n">
        <v>45667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23472-2020</t>
        </is>
      </c>
      <c r="B366" s="1" t="n">
        <v>43969</v>
      </c>
      <c r="C366" s="1" t="n">
        <v>45667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23754-2020</t>
        </is>
      </c>
      <c r="B367" s="1" t="n">
        <v>43970</v>
      </c>
      <c r="C367" s="1" t="n">
        <v>45667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23761-2020</t>
        </is>
      </c>
      <c r="B368" s="1" t="n">
        <v>43970</v>
      </c>
      <c r="C368" s="1" t="n">
        <v>45667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23939-2020</t>
        </is>
      </c>
      <c r="B369" s="1" t="n">
        <v>43971</v>
      </c>
      <c r="C369" s="1" t="n">
        <v>45667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23931-2020</t>
        </is>
      </c>
      <c r="B370" s="1" t="n">
        <v>43971</v>
      </c>
      <c r="C370" s="1" t="n">
        <v>45667</v>
      </c>
      <c r="D370" t="inlineStr">
        <is>
          <t>KALMAR LÄN</t>
        </is>
      </c>
      <c r="E370" t="inlineStr">
        <is>
          <t>HULTSFRED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24441-2020</t>
        </is>
      </c>
      <c r="B371" s="1" t="n">
        <v>43977</v>
      </c>
      <c r="C371" s="1" t="n">
        <v>45667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24447-2020</t>
        </is>
      </c>
      <c r="B372" s="1" t="n">
        <v>43977</v>
      </c>
      <c r="C372" s="1" t="n">
        <v>45667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24442-2020</t>
        </is>
      </c>
      <c r="B373" s="1" t="n">
        <v>43977</v>
      </c>
      <c r="C373" s="1" t="n">
        <v>45667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26327-2020</t>
        </is>
      </c>
      <c r="B374" s="1" t="n">
        <v>43986</v>
      </c>
      <c r="C374" s="1" t="n">
        <v>45667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26207-2020</t>
        </is>
      </c>
      <c r="B375" s="1" t="n">
        <v>43986</v>
      </c>
      <c r="C375" s="1" t="n">
        <v>45667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27701-2020</t>
        </is>
      </c>
      <c r="B376" s="1" t="n">
        <v>43994</v>
      </c>
      <c r="C376" s="1" t="n">
        <v>45667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28722-2020</t>
        </is>
      </c>
      <c r="B377" s="1" t="n">
        <v>43999</v>
      </c>
      <c r="C377" s="1" t="n">
        <v>45667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29122-2020</t>
        </is>
      </c>
      <c r="B378" s="1" t="n">
        <v>44004</v>
      </c>
      <c r="C378" s="1" t="n">
        <v>45667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31414-2020</t>
        </is>
      </c>
      <c r="B379" s="1" t="n">
        <v>44012</v>
      </c>
      <c r="C379" s="1" t="n">
        <v>45667</v>
      </c>
      <c r="D379" t="inlineStr">
        <is>
          <t>KALMAR LÄN</t>
        </is>
      </c>
      <c r="E379" t="inlineStr">
        <is>
          <t>HULTSFRED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31669-2020</t>
        </is>
      </c>
      <c r="B380" s="1" t="n">
        <v>44014</v>
      </c>
      <c r="C380" s="1" t="n">
        <v>45667</v>
      </c>
      <c r="D380" t="inlineStr">
        <is>
          <t>KALMAR LÄN</t>
        </is>
      </c>
      <c r="E380" t="inlineStr">
        <is>
          <t>HULTSFRED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32414-2020</t>
        </is>
      </c>
      <c r="B381" s="1" t="n">
        <v>44018</v>
      </c>
      <c r="C381" s="1" t="n">
        <v>45667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32404-2020</t>
        </is>
      </c>
      <c r="B382" s="1" t="n">
        <v>44018</v>
      </c>
      <c r="C382" s="1" t="n">
        <v>45667</v>
      </c>
      <c r="D382" t="inlineStr">
        <is>
          <t>KALMAR LÄN</t>
        </is>
      </c>
      <c r="E382" t="inlineStr">
        <is>
          <t>HULTSFRED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32426-2020</t>
        </is>
      </c>
      <c r="B383" s="1" t="n">
        <v>44018</v>
      </c>
      <c r="C383" s="1" t="n">
        <v>45667</v>
      </c>
      <c r="D383" t="inlineStr">
        <is>
          <t>KALMAR LÄN</t>
        </is>
      </c>
      <c r="E383" t="inlineStr">
        <is>
          <t>HULTSFRED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32487-2020</t>
        </is>
      </c>
      <c r="B384" s="1" t="n">
        <v>44018</v>
      </c>
      <c r="C384" s="1" t="n">
        <v>45667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32472-2020</t>
        </is>
      </c>
      <c r="B385" s="1" t="n">
        <v>44018</v>
      </c>
      <c r="C385" s="1" t="n">
        <v>45667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32888-2020</t>
        </is>
      </c>
      <c r="B386" s="1" t="n">
        <v>44020</v>
      </c>
      <c r="C386" s="1" t="n">
        <v>45667</v>
      </c>
      <c r="D386" t="inlineStr">
        <is>
          <t>KALMAR LÄN</t>
        </is>
      </c>
      <c r="E386" t="inlineStr">
        <is>
          <t>HULTSFRED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33036-2020</t>
        </is>
      </c>
      <c r="B387" s="1" t="n">
        <v>44021</v>
      </c>
      <c r="C387" s="1" t="n">
        <v>45667</v>
      </c>
      <c r="D387" t="inlineStr">
        <is>
          <t>KALMAR LÄN</t>
        </is>
      </c>
      <c r="E387" t="inlineStr">
        <is>
          <t>HULTSFRED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33335-2020</t>
        </is>
      </c>
      <c r="B388" s="1" t="n">
        <v>44022</v>
      </c>
      <c r="C388" s="1" t="n">
        <v>45667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33258-2020</t>
        </is>
      </c>
      <c r="B389" s="1" t="n">
        <v>44022</v>
      </c>
      <c r="C389" s="1" t="n">
        <v>45667</v>
      </c>
      <c r="D389" t="inlineStr">
        <is>
          <t>KALMAR LÄN</t>
        </is>
      </c>
      <c r="E389" t="inlineStr">
        <is>
          <t>HULTSFRED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33702-2020</t>
        </is>
      </c>
      <c r="B390" s="1" t="n">
        <v>44026</v>
      </c>
      <c r="C390" s="1" t="n">
        <v>45667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33912-2020</t>
        </is>
      </c>
      <c r="B391" s="1" t="n">
        <v>44027</v>
      </c>
      <c r="C391" s="1" t="n">
        <v>45667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34343-2020</t>
        </is>
      </c>
      <c r="B392" s="1" t="n">
        <v>44028</v>
      </c>
      <c r="C392" s="1" t="n">
        <v>45667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34564-2020</t>
        </is>
      </c>
      <c r="B393" s="1" t="n">
        <v>44033</v>
      </c>
      <c r="C393" s="1" t="n">
        <v>45667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34601-2020</t>
        </is>
      </c>
      <c r="B394" s="1" t="n">
        <v>44034</v>
      </c>
      <c r="C394" s="1" t="n">
        <v>45667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34881-2020</t>
        </is>
      </c>
      <c r="B395" s="1" t="n">
        <v>44036</v>
      </c>
      <c r="C395" s="1" t="n">
        <v>45667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35204-2020</t>
        </is>
      </c>
      <c r="B396" s="1" t="n">
        <v>44040</v>
      </c>
      <c r="C396" s="1" t="n">
        <v>45667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35386-2020</t>
        </is>
      </c>
      <c r="B397" s="1" t="n">
        <v>44042</v>
      </c>
      <c r="C397" s="1" t="n">
        <v>45667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35822-2020</t>
        </is>
      </c>
      <c r="B398" s="1" t="n">
        <v>44047</v>
      </c>
      <c r="C398" s="1" t="n">
        <v>45667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35844-2020</t>
        </is>
      </c>
      <c r="B399" s="1" t="n">
        <v>44047</v>
      </c>
      <c r="C399" s="1" t="n">
        <v>45667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35862-2020</t>
        </is>
      </c>
      <c r="B400" s="1" t="n">
        <v>44047</v>
      </c>
      <c r="C400" s="1" t="n">
        <v>45667</v>
      </c>
      <c r="D400" t="inlineStr">
        <is>
          <t>KALMAR LÄN</t>
        </is>
      </c>
      <c r="E400" t="inlineStr">
        <is>
          <t>HULTSFRED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36215-2020</t>
        </is>
      </c>
      <c r="B401" s="1" t="n">
        <v>44048</v>
      </c>
      <c r="C401" s="1" t="n">
        <v>45667</v>
      </c>
      <c r="D401" t="inlineStr">
        <is>
          <t>KALMAR LÄN</t>
        </is>
      </c>
      <c r="E401" t="inlineStr">
        <is>
          <t>HULTSFRED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36508-2020</t>
        </is>
      </c>
      <c r="B402" s="1" t="n">
        <v>44050</v>
      </c>
      <c r="C402" s="1" t="n">
        <v>45667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36726-2020</t>
        </is>
      </c>
      <c r="B403" s="1" t="n">
        <v>44053</v>
      </c>
      <c r="C403" s="1" t="n">
        <v>45667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36719-2020</t>
        </is>
      </c>
      <c r="B404" s="1" t="n">
        <v>44053</v>
      </c>
      <c r="C404" s="1" t="n">
        <v>45667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36837-2020</t>
        </is>
      </c>
      <c r="B405" s="1" t="n">
        <v>44053</v>
      </c>
      <c r="C405" s="1" t="n">
        <v>45667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36743-2020</t>
        </is>
      </c>
      <c r="B406" s="1" t="n">
        <v>44053</v>
      </c>
      <c r="C406" s="1" t="n">
        <v>45667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36931-2020</t>
        </is>
      </c>
      <c r="B407" s="1" t="n">
        <v>44053</v>
      </c>
      <c r="C407" s="1" t="n">
        <v>45667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36930-2020</t>
        </is>
      </c>
      <c r="B408" s="1" t="n">
        <v>44053</v>
      </c>
      <c r="C408" s="1" t="n">
        <v>45667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36927-2020</t>
        </is>
      </c>
      <c r="B409" s="1" t="n">
        <v>44053</v>
      </c>
      <c r="C409" s="1" t="n">
        <v>45667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36841-2020</t>
        </is>
      </c>
      <c r="B410" s="1" t="n">
        <v>44053</v>
      </c>
      <c r="C410" s="1" t="n">
        <v>45667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38248-2020</t>
        </is>
      </c>
      <c r="B411" s="1" t="n">
        <v>44060</v>
      </c>
      <c r="C411" s="1" t="n">
        <v>45667</v>
      </c>
      <c r="D411" t="inlineStr">
        <is>
          <t>KALMAR LÄN</t>
        </is>
      </c>
      <c r="E411" t="inlineStr">
        <is>
          <t>HULTSFRED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38639-2020</t>
        </is>
      </c>
      <c r="B412" s="1" t="n">
        <v>44061</v>
      </c>
      <c r="C412" s="1" t="n">
        <v>45667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38763-2020</t>
        </is>
      </c>
      <c r="B413" s="1" t="n">
        <v>44061</v>
      </c>
      <c r="C413" s="1" t="n">
        <v>45667</v>
      </c>
      <c r="D413" t="inlineStr">
        <is>
          <t>KALMAR LÄN</t>
        </is>
      </c>
      <c r="E413" t="inlineStr">
        <is>
          <t>HULTSFRED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38764-2020</t>
        </is>
      </c>
      <c r="B414" s="1" t="n">
        <v>44061</v>
      </c>
      <c r="C414" s="1" t="n">
        <v>45667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38937-2020</t>
        </is>
      </c>
      <c r="B415" s="1" t="n">
        <v>44062</v>
      </c>
      <c r="C415" s="1" t="n">
        <v>45667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39313-2020</t>
        </is>
      </c>
      <c r="B416" s="1" t="n">
        <v>44063</v>
      </c>
      <c r="C416" s="1" t="n">
        <v>45667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39865-2020</t>
        </is>
      </c>
      <c r="B417" s="1" t="n">
        <v>44063</v>
      </c>
      <c r="C417" s="1" t="n">
        <v>45667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39596-2020</t>
        </is>
      </c>
      <c r="B418" s="1" t="n">
        <v>44064</v>
      </c>
      <c r="C418" s="1" t="n">
        <v>45667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39760-2020</t>
        </is>
      </c>
      <c r="B419" s="1" t="n">
        <v>44067</v>
      </c>
      <c r="C419" s="1" t="n">
        <v>45667</v>
      </c>
      <c r="D419" t="inlineStr">
        <is>
          <t>KALMAR LÄN</t>
        </is>
      </c>
      <c r="E419" t="inlineStr">
        <is>
          <t>HULTSFRED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40095-2020</t>
        </is>
      </c>
      <c r="B420" s="1" t="n">
        <v>44068</v>
      </c>
      <c r="C420" s="1" t="n">
        <v>45667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40118-2020</t>
        </is>
      </c>
      <c r="B421" s="1" t="n">
        <v>44068</v>
      </c>
      <c r="C421" s="1" t="n">
        <v>45667</v>
      </c>
      <c r="D421" t="inlineStr">
        <is>
          <t>KALMAR LÄN</t>
        </is>
      </c>
      <c r="E421" t="inlineStr">
        <is>
          <t>HULTSFRED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40366-2020</t>
        </is>
      </c>
      <c r="B422" s="1" t="n">
        <v>44068</v>
      </c>
      <c r="C422" s="1" t="n">
        <v>45667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40630-2020</t>
        </is>
      </c>
      <c r="B423" s="1" t="n">
        <v>44069</v>
      </c>
      <c r="C423" s="1" t="n">
        <v>45667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41238-2020</t>
        </is>
      </c>
      <c r="B424" s="1" t="n">
        <v>44071</v>
      </c>
      <c r="C424" s="1" t="n">
        <v>45667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41284-2020</t>
        </is>
      </c>
      <c r="B425" s="1" t="n">
        <v>44071</v>
      </c>
      <c r="C425" s="1" t="n">
        <v>45667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42069-2020</t>
        </is>
      </c>
      <c r="B426" s="1" t="n">
        <v>44075</v>
      </c>
      <c r="C426" s="1" t="n">
        <v>45667</v>
      </c>
      <c r="D426" t="inlineStr">
        <is>
          <t>KALMAR LÄN</t>
        </is>
      </c>
      <c r="E426" t="inlineStr">
        <is>
          <t>HULTSFRED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42073-2020</t>
        </is>
      </c>
      <c r="B427" s="1" t="n">
        <v>44075</v>
      </c>
      <c r="C427" s="1" t="n">
        <v>45667</v>
      </c>
      <c r="D427" t="inlineStr">
        <is>
          <t>KALMAR LÄN</t>
        </is>
      </c>
      <c r="E427" t="inlineStr">
        <is>
          <t>HULTSFRED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42255-2020</t>
        </is>
      </c>
      <c r="B428" s="1" t="n">
        <v>44076</v>
      </c>
      <c r="C428" s="1" t="n">
        <v>45667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42259-2020</t>
        </is>
      </c>
      <c r="B429" s="1" t="n">
        <v>44076</v>
      </c>
      <c r="C429" s="1" t="n">
        <v>45667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43382-2020</t>
        </is>
      </c>
      <c r="B430" s="1" t="n">
        <v>44081</v>
      </c>
      <c r="C430" s="1" t="n">
        <v>45667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43918-2020</t>
        </is>
      </c>
      <c r="B431" s="1" t="n">
        <v>44083</v>
      </c>
      <c r="C431" s="1" t="n">
        <v>45667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44413-2020</t>
        </is>
      </c>
      <c r="B432" s="1" t="n">
        <v>44084</v>
      </c>
      <c r="C432" s="1" t="n">
        <v>45667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44285-2020</t>
        </is>
      </c>
      <c r="B433" s="1" t="n">
        <v>44084</v>
      </c>
      <c r="C433" s="1" t="n">
        <v>45667</v>
      </c>
      <c r="D433" t="inlineStr">
        <is>
          <t>KALMAR LÄN</t>
        </is>
      </c>
      <c r="E433" t="inlineStr">
        <is>
          <t>HULTSFRED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44277-2020</t>
        </is>
      </c>
      <c r="B434" s="1" t="n">
        <v>44084</v>
      </c>
      <c r="C434" s="1" t="n">
        <v>45667</v>
      </c>
      <c r="D434" t="inlineStr">
        <is>
          <t>KALMAR LÄN</t>
        </is>
      </c>
      <c r="E434" t="inlineStr">
        <is>
          <t>HULTSFRED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44865-2020</t>
        </is>
      </c>
      <c r="B435" s="1" t="n">
        <v>44087</v>
      </c>
      <c r="C435" s="1" t="n">
        <v>45667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44868-2020</t>
        </is>
      </c>
      <c r="B436" s="1" t="n">
        <v>44087</v>
      </c>
      <c r="C436" s="1" t="n">
        <v>45667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45692-2020</t>
        </is>
      </c>
      <c r="B437" s="1" t="n">
        <v>44090</v>
      </c>
      <c r="C437" s="1" t="n">
        <v>45667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45672-2020</t>
        </is>
      </c>
      <c r="B438" s="1" t="n">
        <v>44090</v>
      </c>
      <c r="C438" s="1" t="n">
        <v>45667</v>
      </c>
      <c r="D438" t="inlineStr">
        <is>
          <t>KALMAR LÄN</t>
        </is>
      </c>
      <c r="E438" t="inlineStr">
        <is>
          <t>HULTSFRED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45934-2020</t>
        </is>
      </c>
      <c r="B439" s="1" t="n">
        <v>44091</v>
      </c>
      <c r="C439" s="1" t="n">
        <v>45667</v>
      </c>
      <c r="D439" t="inlineStr">
        <is>
          <t>KALMAR LÄN</t>
        </is>
      </c>
      <c r="E439" t="inlineStr">
        <is>
          <t>HULTSFRED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47273-2020</t>
        </is>
      </c>
      <c r="B440" s="1" t="n">
        <v>44092</v>
      </c>
      <c r="C440" s="1" t="n">
        <v>45667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47339-2020</t>
        </is>
      </c>
      <c r="B441" s="1" t="n">
        <v>44097</v>
      </c>
      <c r="C441" s="1" t="n">
        <v>45667</v>
      </c>
      <c r="D441" t="inlineStr">
        <is>
          <t>KALMAR LÄN</t>
        </is>
      </c>
      <c r="E441" t="inlineStr">
        <is>
          <t>HULTSFRED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47445-2020</t>
        </is>
      </c>
      <c r="B442" s="1" t="n">
        <v>44097</v>
      </c>
      <c r="C442" s="1" t="n">
        <v>45667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47347-2020</t>
        </is>
      </c>
      <c r="B443" s="1" t="n">
        <v>44097</v>
      </c>
      <c r="C443" s="1" t="n">
        <v>45667</v>
      </c>
      <c r="D443" t="inlineStr">
        <is>
          <t>KALMAR LÄN</t>
        </is>
      </c>
      <c r="E443" t="inlineStr">
        <is>
          <t>HULTSFRED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48046-2020</t>
        </is>
      </c>
      <c r="B444" s="1" t="n">
        <v>44099</v>
      </c>
      <c r="C444" s="1" t="n">
        <v>45667</v>
      </c>
      <c r="D444" t="inlineStr">
        <is>
          <t>KALMAR LÄN</t>
        </is>
      </c>
      <c r="E444" t="inlineStr">
        <is>
          <t>HULTSFRED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49426-2020</t>
        </is>
      </c>
      <c r="B445" s="1" t="n">
        <v>44105</v>
      </c>
      <c r="C445" s="1" t="n">
        <v>45667</v>
      </c>
      <c r="D445" t="inlineStr">
        <is>
          <t>KALMAR LÄN</t>
        </is>
      </c>
      <c r="E445" t="inlineStr">
        <is>
          <t>HULTSFRED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49603-2020</t>
        </is>
      </c>
      <c r="B446" s="1" t="n">
        <v>44106</v>
      </c>
      <c r="C446" s="1" t="n">
        <v>45667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49766-2020</t>
        </is>
      </c>
      <c r="B447" s="1" t="n">
        <v>44106</v>
      </c>
      <c r="C447" s="1" t="n">
        <v>45667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50451-2020</t>
        </is>
      </c>
      <c r="B448" s="1" t="n">
        <v>44110</v>
      </c>
      <c r="C448" s="1" t="n">
        <v>45667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50509-2020</t>
        </is>
      </c>
      <c r="B449" s="1" t="n">
        <v>44110</v>
      </c>
      <c r="C449" s="1" t="n">
        <v>45667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50967-2020</t>
        </is>
      </c>
      <c r="B450" s="1" t="n">
        <v>44111</v>
      </c>
      <c r="C450" s="1" t="n">
        <v>45667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51548-2020</t>
        </is>
      </c>
      <c r="B451" s="1" t="n">
        <v>44113</v>
      </c>
      <c r="C451" s="1" t="n">
        <v>45667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52518-2020</t>
        </is>
      </c>
      <c r="B452" s="1" t="n">
        <v>44118</v>
      </c>
      <c r="C452" s="1" t="n">
        <v>45667</v>
      </c>
      <c r="D452" t="inlineStr">
        <is>
          <t>KALMAR LÄN</t>
        </is>
      </c>
      <c r="E452" t="inlineStr">
        <is>
          <t>HULTSFRED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53701-2020</t>
        </is>
      </c>
      <c r="B453" s="1" t="n">
        <v>44124</v>
      </c>
      <c r="C453" s="1" t="n">
        <v>45667</v>
      </c>
      <c r="D453" t="inlineStr">
        <is>
          <t>KALMAR LÄN</t>
        </is>
      </c>
      <c r="E453" t="inlineStr">
        <is>
          <t>HULTSFRED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54525-2020</t>
        </is>
      </c>
      <c r="B454" s="1" t="n">
        <v>44126</v>
      </c>
      <c r="C454" s="1" t="n">
        <v>45667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54529-2020</t>
        </is>
      </c>
      <c r="B455" s="1" t="n">
        <v>44126</v>
      </c>
      <c r="C455" s="1" t="n">
        <v>45667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54489-2020</t>
        </is>
      </c>
      <c r="B456" s="1" t="n">
        <v>44126</v>
      </c>
      <c r="C456" s="1" t="n">
        <v>45667</v>
      </c>
      <c r="D456" t="inlineStr">
        <is>
          <t>KALMAR LÄN</t>
        </is>
      </c>
      <c r="E456" t="inlineStr">
        <is>
          <t>HULTSFRED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55011-2020</t>
        </is>
      </c>
      <c r="B457" s="1" t="n">
        <v>44130</v>
      </c>
      <c r="C457" s="1" t="n">
        <v>45667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55748-2020</t>
        </is>
      </c>
      <c r="B458" s="1" t="n">
        <v>44132</v>
      </c>
      <c r="C458" s="1" t="n">
        <v>45667</v>
      </c>
      <c r="D458" t="inlineStr">
        <is>
          <t>KALMAR LÄN</t>
        </is>
      </c>
      <c r="E458" t="inlineStr">
        <is>
          <t>HULTSFRED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56321-2020</t>
        </is>
      </c>
      <c r="B459" s="1" t="n">
        <v>44134</v>
      </c>
      <c r="C459" s="1" t="n">
        <v>45667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56571-2020</t>
        </is>
      </c>
      <c r="B460" s="1" t="n">
        <v>44137</v>
      </c>
      <c r="C460" s="1" t="n">
        <v>45667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58938-2020</t>
        </is>
      </c>
      <c r="B461" s="1" t="n">
        <v>44146</v>
      </c>
      <c r="C461" s="1" t="n">
        <v>45667</v>
      </c>
      <c r="D461" t="inlineStr">
        <is>
          <t>KALMAR LÄN</t>
        </is>
      </c>
      <c r="E461" t="inlineStr">
        <is>
          <t>HULTSFRED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58836-2020</t>
        </is>
      </c>
      <c r="B462" s="1" t="n">
        <v>44146</v>
      </c>
      <c r="C462" s="1" t="n">
        <v>45667</v>
      </c>
      <c r="D462" t="inlineStr">
        <is>
          <t>KALMAR LÄN</t>
        </is>
      </c>
      <c r="E462" t="inlineStr">
        <is>
          <t>HULTSFRED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59757-2020</t>
        </is>
      </c>
      <c r="B463" s="1" t="n">
        <v>44151</v>
      </c>
      <c r="C463" s="1" t="n">
        <v>45667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60124-2020</t>
        </is>
      </c>
      <c r="B464" s="1" t="n">
        <v>44151</v>
      </c>
      <c r="C464" s="1" t="n">
        <v>45667</v>
      </c>
      <c r="D464" t="inlineStr">
        <is>
          <t>KALMAR LÄN</t>
        </is>
      </c>
      <c r="E464" t="inlineStr">
        <is>
          <t>HULTSFRED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60188-2020</t>
        </is>
      </c>
      <c r="B465" s="1" t="n">
        <v>44151</v>
      </c>
      <c r="C465" s="1" t="n">
        <v>45667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61104-2020</t>
        </is>
      </c>
      <c r="B466" s="1" t="n">
        <v>44154</v>
      </c>
      <c r="C466" s="1" t="n">
        <v>45667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62188-2020</t>
        </is>
      </c>
      <c r="B467" s="1" t="n">
        <v>44159</v>
      </c>
      <c r="C467" s="1" t="n">
        <v>45667</v>
      </c>
      <c r="D467" t="inlineStr">
        <is>
          <t>KALMAR LÄN</t>
        </is>
      </c>
      <c r="E467" t="inlineStr">
        <is>
          <t>HULTSFRED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63064-2020</t>
        </is>
      </c>
      <c r="B468" s="1" t="n">
        <v>44162</v>
      </c>
      <c r="C468" s="1" t="n">
        <v>45667</v>
      </c>
      <c r="D468" t="inlineStr">
        <is>
          <t>KALMAR LÄN</t>
        </is>
      </c>
      <c r="E468" t="inlineStr">
        <is>
          <t>HULTSFRED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62997-2020</t>
        </is>
      </c>
      <c r="B469" s="1" t="n">
        <v>44162</v>
      </c>
      <c r="C469" s="1" t="n">
        <v>45667</v>
      </c>
      <c r="D469" t="inlineStr">
        <is>
          <t>KALMAR LÄN</t>
        </is>
      </c>
      <c r="E469" t="inlineStr">
        <is>
          <t>HULTSFRED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65682-2020</t>
        </is>
      </c>
      <c r="B470" s="1" t="n">
        <v>44172</v>
      </c>
      <c r="C470" s="1" t="n">
        <v>45667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66559-2020</t>
        </is>
      </c>
      <c r="B471" s="1" t="n">
        <v>44179</v>
      </c>
      <c r="C471" s="1" t="n">
        <v>45667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67857-2020</t>
        </is>
      </c>
      <c r="B472" s="1" t="n">
        <v>44182</v>
      </c>
      <c r="C472" s="1" t="n">
        <v>45667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67881-2020</t>
        </is>
      </c>
      <c r="B473" s="1" t="n">
        <v>44182</v>
      </c>
      <c r="C473" s="1" t="n">
        <v>45667</v>
      </c>
      <c r="D473" t="inlineStr">
        <is>
          <t>KALMAR LÄN</t>
        </is>
      </c>
      <c r="E473" t="inlineStr">
        <is>
          <t>HULTSFRED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68234-2020</t>
        </is>
      </c>
      <c r="B474" s="1" t="n">
        <v>44183</v>
      </c>
      <c r="C474" s="1" t="n">
        <v>45667</v>
      </c>
      <c r="D474" t="inlineStr">
        <is>
          <t>KALMAR LÄN</t>
        </is>
      </c>
      <c r="E474" t="inlineStr">
        <is>
          <t>HULTSFRED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68351-2020</t>
        </is>
      </c>
      <c r="B475" s="1" t="n">
        <v>44186</v>
      </c>
      <c r="C475" s="1" t="n">
        <v>45667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69295-2020</t>
        </is>
      </c>
      <c r="B476" s="1" t="n">
        <v>44186</v>
      </c>
      <c r="C476" s="1" t="n">
        <v>45667</v>
      </c>
      <c r="D476" t="inlineStr">
        <is>
          <t>KALMAR LÄN</t>
        </is>
      </c>
      <c r="E476" t="inlineStr">
        <is>
          <t>HULTSFRED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69269-2020</t>
        </is>
      </c>
      <c r="B477" s="1" t="n">
        <v>44186</v>
      </c>
      <c r="C477" s="1" t="n">
        <v>45667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69155-2020</t>
        </is>
      </c>
      <c r="B478" s="1" t="n">
        <v>44186</v>
      </c>
      <c r="C478" s="1" t="n">
        <v>45667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69141-2020</t>
        </is>
      </c>
      <c r="B479" s="1" t="n">
        <v>44186</v>
      </c>
      <c r="C479" s="1" t="n">
        <v>45667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69158-2020</t>
        </is>
      </c>
      <c r="B480" s="1" t="n">
        <v>44188</v>
      </c>
      <c r="C480" s="1" t="n">
        <v>45667</v>
      </c>
      <c r="D480" t="inlineStr">
        <is>
          <t>KALMAR LÄN</t>
        </is>
      </c>
      <c r="E480" t="inlineStr">
        <is>
          <t>HULTSFRED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69311-2020</t>
        </is>
      </c>
      <c r="B481" s="1" t="n">
        <v>44193</v>
      </c>
      <c r="C481" s="1" t="n">
        <v>45667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69360-2020</t>
        </is>
      </c>
      <c r="B482" s="1" t="n">
        <v>44193</v>
      </c>
      <c r="C482" s="1" t="n">
        <v>45667</v>
      </c>
      <c r="D482" t="inlineStr">
        <is>
          <t>KALMAR LÄN</t>
        </is>
      </c>
      <c r="E482" t="inlineStr">
        <is>
          <t>HULTSFRED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69363-2020</t>
        </is>
      </c>
      <c r="B483" s="1" t="n">
        <v>44193</v>
      </c>
      <c r="C483" s="1" t="n">
        <v>45667</v>
      </c>
      <c r="D483" t="inlineStr">
        <is>
          <t>KALMAR LÄN</t>
        </is>
      </c>
      <c r="E483" t="inlineStr">
        <is>
          <t>HULTSFRED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69413-2020</t>
        </is>
      </c>
      <c r="B484" s="1" t="n">
        <v>44193</v>
      </c>
      <c r="C484" s="1" t="n">
        <v>45667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69411-2020</t>
        </is>
      </c>
      <c r="B485" s="1" t="n">
        <v>44193</v>
      </c>
      <c r="C485" s="1" t="n">
        <v>45667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69412-2020</t>
        </is>
      </c>
      <c r="B486" s="1" t="n">
        <v>44193</v>
      </c>
      <c r="C486" s="1" t="n">
        <v>45667</v>
      </c>
      <c r="D486" t="inlineStr">
        <is>
          <t>KALMAR LÄN</t>
        </is>
      </c>
      <c r="E486" t="inlineStr">
        <is>
          <t>HULTSFRED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69659-2020</t>
        </is>
      </c>
      <c r="B487" s="1" t="n">
        <v>44195</v>
      </c>
      <c r="C487" s="1" t="n">
        <v>45667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520-2021</t>
        </is>
      </c>
      <c r="B488" s="1" t="n">
        <v>44201</v>
      </c>
      <c r="C488" s="1" t="n">
        <v>45667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547-2021</t>
        </is>
      </c>
      <c r="B489" s="1" t="n">
        <v>44203</v>
      </c>
      <c r="C489" s="1" t="n">
        <v>45667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635-2021</t>
        </is>
      </c>
      <c r="B490" s="1" t="n">
        <v>44203</v>
      </c>
      <c r="C490" s="1" t="n">
        <v>45667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2629-2021</t>
        </is>
      </c>
      <c r="B491" s="1" t="n">
        <v>44215</v>
      </c>
      <c r="C491" s="1" t="n">
        <v>45667</v>
      </c>
      <c r="D491" t="inlineStr">
        <is>
          <t>KALMAR LÄN</t>
        </is>
      </c>
      <c r="E491" t="inlineStr">
        <is>
          <t>HULTSFRED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3488-2021</t>
        </is>
      </c>
      <c r="B492" s="1" t="n">
        <v>44216</v>
      </c>
      <c r="C492" s="1" t="n">
        <v>45667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4222-2021</t>
        </is>
      </c>
      <c r="B493" s="1" t="n">
        <v>44218</v>
      </c>
      <c r="C493" s="1" t="n">
        <v>45667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4318-2021</t>
        </is>
      </c>
      <c r="B494" s="1" t="n">
        <v>44223</v>
      </c>
      <c r="C494" s="1" t="n">
        <v>45667</v>
      </c>
      <c r="D494" t="inlineStr">
        <is>
          <t>KALMAR LÄN</t>
        </is>
      </c>
      <c r="E494" t="inlineStr">
        <is>
          <t>HULTSFRED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4407-2021</t>
        </is>
      </c>
      <c r="B495" s="1" t="n">
        <v>44223</v>
      </c>
      <c r="C495" s="1" t="n">
        <v>45667</v>
      </c>
      <c r="D495" t="inlineStr">
        <is>
          <t>KALMAR LÄN</t>
        </is>
      </c>
      <c r="E495" t="inlineStr">
        <is>
          <t>HULTSFRED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4413-2021</t>
        </is>
      </c>
      <c r="B496" s="1" t="n">
        <v>44223</v>
      </c>
      <c r="C496" s="1" t="n">
        <v>45667</v>
      </c>
      <c r="D496" t="inlineStr">
        <is>
          <t>KALMAR LÄN</t>
        </is>
      </c>
      <c r="E496" t="inlineStr">
        <is>
          <t>HULTSFRED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5423-2021</t>
        </is>
      </c>
      <c r="B497" s="1" t="n">
        <v>44229</v>
      </c>
      <c r="C497" s="1" t="n">
        <v>45667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6235-2021</t>
        </is>
      </c>
      <c r="B498" s="1" t="n">
        <v>44235</v>
      </c>
      <c r="C498" s="1" t="n">
        <v>45667</v>
      </c>
      <c r="D498" t="inlineStr">
        <is>
          <t>KALMAR LÄN</t>
        </is>
      </c>
      <c r="E498" t="inlineStr">
        <is>
          <t>HULTSFRED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6547-2021</t>
        </is>
      </c>
      <c r="B499" s="1" t="n">
        <v>44236</v>
      </c>
      <c r="C499" s="1" t="n">
        <v>45667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7994-2021</t>
        </is>
      </c>
      <c r="B500" s="1" t="n">
        <v>44243</v>
      </c>
      <c r="C500" s="1" t="n">
        <v>45667</v>
      </c>
      <c r="D500" t="inlineStr">
        <is>
          <t>KALMAR LÄN</t>
        </is>
      </c>
      <c r="E500" t="inlineStr">
        <is>
          <t>HULTSFRED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9271-2021</t>
        </is>
      </c>
      <c r="B501" s="1" t="n">
        <v>44250</v>
      </c>
      <c r="C501" s="1" t="n">
        <v>45667</v>
      </c>
      <c r="D501" t="inlineStr">
        <is>
          <t>KALMAR LÄN</t>
        </is>
      </c>
      <c r="E501" t="inlineStr">
        <is>
          <t>HULTSFRED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9222-2021</t>
        </is>
      </c>
      <c r="B502" s="1" t="n">
        <v>44250</v>
      </c>
      <c r="C502" s="1" t="n">
        <v>45667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9654-2021</t>
        </is>
      </c>
      <c r="B503" s="1" t="n">
        <v>44252</v>
      </c>
      <c r="C503" s="1" t="n">
        <v>45667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9650-2021</t>
        </is>
      </c>
      <c r="B504" s="1" t="n">
        <v>44252</v>
      </c>
      <c r="C504" s="1" t="n">
        <v>45667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10546-2021</t>
        </is>
      </c>
      <c r="B505" s="1" t="n">
        <v>44258</v>
      </c>
      <c r="C505" s="1" t="n">
        <v>45667</v>
      </c>
      <c r="D505" t="inlineStr">
        <is>
          <t>KALMAR LÄN</t>
        </is>
      </c>
      <c r="E505" t="inlineStr">
        <is>
          <t>HULTSFRED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10754-2021</t>
        </is>
      </c>
      <c r="B506" s="1" t="n">
        <v>44259</v>
      </c>
      <c r="C506" s="1" t="n">
        <v>45667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11080-2021</t>
        </is>
      </c>
      <c r="B507" s="1" t="n">
        <v>44260</v>
      </c>
      <c r="C507" s="1" t="n">
        <v>45667</v>
      </c>
      <c r="D507" t="inlineStr">
        <is>
          <t>KALMAR LÄN</t>
        </is>
      </c>
      <c r="E507" t="inlineStr">
        <is>
          <t>HULTSFRED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11436-2021</t>
        </is>
      </c>
      <c r="B508" s="1" t="n">
        <v>44263</v>
      </c>
      <c r="C508" s="1" t="n">
        <v>45667</v>
      </c>
      <c r="D508" t="inlineStr">
        <is>
          <t>KALMAR LÄN</t>
        </is>
      </c>
      <c r="E508" t="inlineStr">
        <is>
          <t>HULTSFRED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12157-2021</t>
        </is>
      </c>
      <c r="B509" s="1" t="n">
        <v>44266</v>
      </c>
      <c r="C509" s="1" t="n">
        <v>45667</v>
      </c>
      <c r="D509" t="inlineStr">
        <is>
          <t>KALMAR LÄN</t>
        </is>
      </c>
      <c r="E509" t="inlineStr">
        <is>
          <t>HULTSFRED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12717-2021</t>
        </is>
      </c>
      <c r="B510" s="1" t="n">
        <v>44270</v>
      </c>
      <c r="C510" s="1" t="n">
        <v>45667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13715-2021</t>
        </is>
      </c>
      <c r="B511" s="1" t="n">
        <v>44274</v>
      </c>
      <c r="C511" s="1" t="n">
        <v>45667</v>
      </c>
      <c r="D511" t="inlineStr">
        <is>
          <t>KALMAR LÄN</t>
        </is>
      </c>
      <c r="E511" t="inlineStr">
        <is>
          <t>HULTSFRED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13717-2021</t>
        </is>
      </c>
      <c r="B512" s="1" t="n">
        <v>44274</v>
      </c>
      <c r="C512" s="1" t="n">
        <v>45667</v>
      </c>
      <c r="D512" t="inlineStr">
        <is>
          <t>KALMAR LÄN</t>
        </is>
      </c>
      <c r="E512" t="inlineStr">
        <is>
          <t>HULTSFRED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13704-2021</t>
        </is>
      </c>
      <c r="B513" s="1" t="n">
        <v>44274</v>
      </c>
      <c r="C513" s="1" t="n">
        <v>45667</v>
      </c>
      <c r="D513" t="inlineStr">
        <is>
          <t>KALMAR LÄN</t>
        </is>
      </c>
      <c r="E513" t="inlineStr">
        <is>
          <t>HULTSFRED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13732-2021</t>
        </is>
      </c>
      <c r="B514" s="1" t="n">
        <v>44274</v>
      </c>
      <c r="C514" s="1" t="n">
        <v>45667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14280-2021</t>
        </is>
      </c>
      <c r="B515" s="1" t="n">
        <v>44278</v>
      </c>
      <c r="C515" s="1" t="n">
        <v>45667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15715-2021</t>
        </is>
      </c>
      <c r="B516" s="1" t="n">
        <v>44286</v>
      </c>
      <c r="C516" s="1" t="n">
        <v>45667</v>
      </c>
      <c r="D516" t="inlineStr">
        <is>
          <t>KALMAR LÄN</t>
        </is>
      </c>
      <c r="E516" t="inlineStr">
        <is>
          <t>HULTSFRED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16542-2021</t>
        </is>
      </c>
      <c r="B517" s="1" t="n">
        <v>44293</v>
      </c>
      <c r="C517" s="1" t="n">
        <v>45667</v>
      </c>
      <c r="D517" t="inlineStr">
        <is>
          <t>KALMAR LÄN</t>
        </is>
      </c>
      <c r="E517" t="inlineStr">
        <is>
          <t>HULTSFRED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16865-2021</t>
        </is>
      </c>
      <c r="B518" s="1" t="n">
        <v>44295</v>
      </c>
      <c r="C518" s="1" t="n">
        <v>45667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17059-2021</t>
        </is>
      </c>
      <c r="B519" s="1" t="n">
        <v>44296</v>
      </c>
      <c r="C519" s="1" t="n">
        <v>45667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17660-2021</t>
        </is>
      </c>
      <c r="B520" s="1" t="n">
        <v>44300</v>
      </c>
      <c r="C520" s="1" t="n">
        <v>45667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19118-2021</t>
        </is>
      </c>
      <c r="B521" s="1" t="n">
        <v>44308</v>
      </c>
      <c r="C521" s="1" t="n">
        <v>45667</v>
      </c>
      <c r="D521" t="inlineStr">
        <is>
          <t>KALMAR LÄN</t>
        </is>
      </c>
      <c r="E521" t="inlineStr">
        <is>
          <t>HULTSFRED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21228-2021</t>
        </is>
      </c>
      <c r="B522" s="1" t="n">
        <v>44314</v>
      </c>
      <c r="C522" s="1" t="n">
        <v>45667</v>
      </c>
      <c r="D522" t="inlineStr">
        <is>
          <t>KALMAR LÄN</t>
        </is>
      </c>
      <c r="E522" t="inlineStr">
        <is>
          <t>HULTSFRED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21107-2021</t>
        </is>
      </c>
      <c r="B523" s="1" t="n">
        <v>44319</v>
      </c>
      <c r="C523" s="1" t="n">
        <v>45667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21280-2021</t>
        </is>
      </c>
      <c r="B524" s="1" t="n">
        <v>44320</v>
      </c>
      <c r="C524" s="1" t="n">
        <v>45667</v>
      </c>
      <c r="D524" t="inlineStr">
        <is>
          <t>KALMAR LÄN</t>
        </is>
      </c>
      <c r="E524" t="inlineStr">
        <is>
          <t>HULTSFRED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22213-2021</t>
        </is>
      </c>
      <c r="B525" s="1" t="n">
        <v>44326</v>
      </c>
      <c r="C525" s="1" t="n">
        <v>45667</v>
      </c>
      <c r="D525" t="inlineStr">
        <is>
          <t>KALMAR LÄN</t>
        </is>
      </c>
      <c r="E525" t="inlineStr">
        <is>
          <t>HULTSFRED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22236-2021</t>
        </is>
      </c>
      <c r="B526" s="1" t="n">
        <v>44326</v>
      </c>
      <c r="C526" s="1" t="n">
        <v>45667</v>
      </c>
      <c r="D526" t="inlineStr">
        <is>
          <t>KALMAR LÄN</t>
        </is>
      </c>
      <c r="E526" t="inlineStr">
        <is>
          <t>HULTSFRED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23730-2021</t>
        </is>
      </c>
      <c r="B527" s="1" t="n">
        <v>44334</v>
      </c>
      <c r="C527" s="1" t="n">
        <v>45667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24307-2021</t>
        </is>
      </c>
      <c r="B528" s="1" t="n">
        <v>44337</v>
      </c>
      <c r="C528" s="1" t="n">
        <v>45667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26895-2021</t>
        </is>
      </c>
      <c r="B529" s="1" t="n">
        <v>44349</v>
      </c>
      <c r="C529" s="1" t="n">
        <v>45667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27226-2021</t>
        </is>
      </c>
      <c r="B530" s="1" t="n">
        <v>44350</v>
      </c>
      <c r="C530" s="1" t="n">
        <v>45667</v>
      </c>
      <c r="D530" t="inlineStr">
        <is>
          <t>KALMAR LÄN</t>
        </is>
      </c>
      <c r="E530" t="inlineStr">
        <is>
          <t>HULTSFRED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27570-2021</t>
        </is>
      </c>
      <c r="B531" s="1" t="n">
        <v>44353</v>
      </c>
      <c r="C531" s="1" t="n">
        <v>45667</v>
      </c>
      <c r="D531" t="inlineStr">
        <is>
          <t>KALMAR LÄN</t>
        </is>
      </c>
      <c r="E531" t="inlineStr">
        <is>
          <t>HULTSFRED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27929-2021</t>
        </is>
      </c>
      <c r="B532" s="1" t="n">
        <v>44354</v>
      </c>
      <c r="C532" s="1" t="n">
        <v>45667</v>
      </c>
      <c r="D532" t="inlineStr">
        <is>
          <t>KALMAR LÄN</t>
        </is>
      </c>
      <c r="E532" t="inlineStr">
        <is>
          <t>HULTSFRED</t>
        </is>
      </c>
      <c r="F532" t="inlineStr">
        <is>
          <t>Övriga Aktiebolag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28399-2021</t>
        </is>
      </c>
      <c r="B533" s="1" t="n">
        <v>44356</v>
      </c>
      <c r="C533" s="1" t="n">
        <v>45667</v>
      </c>
      <c r="D533" t="inlineStr">
        <is>
          <t>KALMAR LÄN</t>
        </is>
      </c>
      <c r="E533" t="inlineStr">
        <is>
          <t>HULTSFRED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28669-2021</t>
        </is>
      </c>
      <c r="B534" s="1" t="n">
        <v>44357</v>
      </c>
      <c r="C534" s="1" t="n">
        <v>45667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31053-2021</t>
        </is>
      </c>
      <c r="B535" s="1" t="n">
        <v>44368</v>
      </c>
      <c r="C535" s="1" t="n">
        <v>45667</v>
      </c>
      <c r="D535" t="inlineStr">
        <is>
          <t>KALMAR LÄN</t>
        </is>
      </c>
      <c r="E535" t="inlineStr">
        <is>
          <t>HULTSFRED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32497-2021</t>
        </is>
      </c>
      <c r="B536" s="1" t="n">
        <v>44373</v>
      </c>
      <c r="C536" s="1" t="n">
        <v>45667</v>
      </c>
      <c r="D536" t="inlineStr">
        <is>
          <t>KALMAR LÄN</t>
        </is>
      </c>
      <c r="E536" t="inlineStr">
        <is>
          <t>HULTSFRED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32783-2021</t>
        </is>
      </c>
      <c r="B537" s="1" t="n">
        <v>44375</v>
      </c>
      <c r="C537" s="1" t="n">
        <v>45667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32770-2021</t>
        </is>
      </c>
      <c r="B538" s="1" t="n">
        <v>44375</v>
      </c>
      <c r="C538" s="1" t="n">
        <v>45667</v>
      </c>
      <c r="D538" t="inlineStr">
        <is>
          <t>KALMAR LÄN</t>
        </is>
      </c>
      <c r="E538" t="inlineStr">
        <is>
          <t>HULTSFRED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32777-2021</t>
        </is>
      </c>
      <c r="B539" s="1" t="n">
        <v>44375</v>
      </c>
      <c r="C539" s="1" t="n">
        <v>45667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32786-2021</t>
        </is>
      </c>
      <c r="B540" s="1" t="n">
        <v>44375</v>
      </c>
      <c r="C540" s="1" t="n">
        <v>45667</v>
      </c>
      <c r="D540" t="inlineStr">
        <is>
          <t>KALMAR LÄN</t>
        </is>
      </c>
      <c r="E540" t="inlineStr">
        <is>
          <t>HULTSFRED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32791-2021</t>
        </is>
      </c>
      <c r="B541" s="1" t="n">
        <v>44375</v>
      </c>
      <c r="C541" s="1" t="n">
        <v>45667</v>
      </c>
      <c r="D541" t="inlineStr">
        <is>
          <t>KALMAR LÄN</t>
        </is>
      </c>
      <c r="E541" t="inlineStr">
        <is>
          <t>HULTSFRED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34502-2021</t>
        </is>
      </c>
      <c r="B542" s="1" t="n">
        <v>44382</v>
      </c>
      <c r="C542" s="1" t="n">
        <v>45667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35387-2021</t>
        </is>
      </c>
      <c r="B543" s="1" t="n">
        <v>44385</v>
      </c>
      <c r="C543" s="1" t="n">
        <v>45667</v>
      </c>
      <c r="D543" t="inlineStr">
        <is>
          <t>KALMAR LÄN</t>
        </is>
      </c>
      <c r="E543" t="inlineStr">
        <is>
          <t>HULTSFRED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35392-2021</t>
        </is>
      </c>
      <c r="B544" s="1" t="n">
        <v>44385</v>
      </c>
      <c r="C544" s="1" t="n">
        <v>45667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35380-2021</t>
        </is>
      </c>
      <c r="B545" s="1" t="n">
        <v>44385</v>
      </c>
      <c r="C545" s="1" t="n">
        <v>45667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35623-2021</t>
        </is>
      </c>
      <c r="B546" s="1" t="n">
        <v>44386</v>
      </c>
      <c r="C546" s="1" t="n">
        <v>45667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38971-2021</t>
        </is>
      </c>
      <c r="B547" s="1" t="n">
        <v>44411</v>
      </c>
      <c r="C547" s="1" t="n">
        <v>45667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40428-2021</t>
        </is>
      </c>
      <c r="B548" s="1" t="n">
        <v>44419</v>
      </c>
      <c r="C548" s="1" t="n">
        <v>45667</v>
      </c>
      <c r="D548" t="inlineStr">
        <is>
          <t>KALMAR LÄN</t>
        </is>
      </c>
      <c r="E548" t="inlineStr">
        <is>
          <t>HULTSFRED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40617-2021</t>
        </is>
      </c>
      <c r="B549" s="1" t="n">
        <v>44420</v>
      </c>
      <c r="C549" s="1" t="n">
        <v>45667</v>
      </c>
      <c r="D549" t="inlineStr">
        <is>
          <t>KALMAR LÄN</t>
        </is>
      </c>
      <c r="E549" t="inlineStr">
        <is>
          <t>HULTSFRED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40598-2021</t>
        </is>
      </c>
      <c r="B550" s="1" t="n">
        <v>44420</v>
      </c>
      <c r="C550" s="1" t="n">
        <v>45667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40596-2021</t>
        </is>
      </c>
      <c r="B551" s="1" t="n">
        <v>44420</v>
      </c>
      <c r="C551" s="1" t="n">
        <v>45667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42055-2021</t>
        </is>
      </c>
      <c r="B552" s="1" t="n">
        <v>44426</v>
      </c>
      <c r="C552" s="1" t="n">
        <v>45667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42792-2021</t>
        </is>
      </c>
      <c r="B553" s="1" t="n">
        <v>44428</v>
      </c>
      <c r="C553" s="1" t="n">
        <v>45667</v>
      </c>
      <c r="D553" t="inlineStr">
        <is>
          <t>KALMAR LÄN</t>
        </is>
      </c>
      <c r="E553" t="inlineStr">
        <is>
          <t>HULTSFRED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43344-2021</t>
        </is>
      </c>
      <c r="B554" s="1" t="n">
        <v>44432</v>
      </c>
      <c r="C554" s="1" t="n">
        <v>45667</v>
      </c>
      <c r="D554" t="inlineStr">
        <is>
          <t>KALMAR LÄN</t>
        </is>
      </c>
      <c r="E554" t="inlineStr">
        <is>
          <t>HULTSFRED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43574-2021</t>
        </is>
      </c>
      <c r="B555" s="1" t="n">
        <v>44433</v>
      </c>
      <c r="C555" s="1" t="n">
        <v>45667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44139-2021</t>
        </is>
      </c>
      <c r="B556" s="1" t="n">
        <v>44434</v>
      </c>
      <c r="C556" s="1" t="n">
        <v>45667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44626-2021</t>
        </is>
      </c>
      <c r="B557" s="1" t="n">
        <v>44437</v>
      </c>
      <c r="C557" s="1" t="n">
        <v>45667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44803-2021</t>
        </is>
      </c>
      <c r="B558" s="1" t="n">
        <v>44438</v>
      </c>
      <c r="C558" s="1" t="n">
        <v>45667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44977-2021</t>
        </is>
      </c>
      <c r="B559" s="1" t="n">
        <v>44438</v>
      </c>
      <c r="C559" s="1" t="n">
        <v>45667</v>
      </c>
      <c r="D559" t="inlineStr">
        <is>
          <t>KALMAR LÄN</t>
        </is>
      </c>
      <c r="E559" t="inlineStr">
        <is>
          <t>HULTSFRED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45236-2021</t>
        </is>
      </c>
      <c r="B560" s="1" t="n">
        <v>44439</v>
      </c>
      <c r="C560" s="1" t="n">
        <v>45667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46060-2021</t>
        </is>
      </c>
      <c r="B561" s="1" t="n">
        <v>44441</v>
      </c>
      <c r="C561" s="1" t="n">
        <v>45667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47350-2021</t>
        </is>
      </c>
      <c r="B562" s="1" t="n">
        <v>44447</v>
      </c>
      <c r="C562" s="1" t="n">
        <v>45667</v>
      </c>
      <c r="D562" t="inlineStr">
        <is>
          <t>KALMAR LÄN</t>
        </is>
      </c>
      <c r="E562" t="inlineStr">
        <is>
          <t>HULTSFRED</t>
        </is>
      </c>
      <c r="F562" t="inlineStr">
        <is>
          <t>Kommuner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47371-2021</t>
        </is>
      </c>
      <c r="B563" s="1" t="n">
        <v>44447</v>
      </c>
      <c r="C563" s="1" t="n">
        <v>45667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48249-2021</t>
        </is>
      </c>
      <c r="B564" s="1" t="n">
        <v>44449</v>
      </c>
      <c r="C564" s="1" t="n">
        <v>45667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48732-2021</t>
        </is>
      </c>
      <c r="B565" s="1" t="n">
        <v>44452</v>
      </c>
      <c r="C565" s="1" t="n">
        <v>45667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48729-2021</t>
        </is>
      </c>
      <c r="B566" s="1" t="n">
        <v>44452</v>
      </c>
      <c r="C566" s="1" t="n">
        <v>45667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48735-2021</t>
        </is>
      </c>
      <c r="B567" s="1" t="n">
        <v>44452</v>
      </c>
      <c r="C567" s="1" t="n">
        <v>45667</v>
      </c>
      <c r="D567" t="inlineStr">
        <is>
          <t>KALMAR LÄN</t>
        </is>
      </c>
      <c r="E567" t="inlineStr">
        <is>
          <t>HULTSFRED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49989-2021</t>
        </is>
      </c>
      <c r="B568" s="1" t="n">
        <v>44456</v>
      </c>
      <c r="C568" s="1" t="n">
        <v>45667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51585-2021</t>
        </is>
      </c>
      <c r="B569" s="1" t="n">
        <v>44462</v>
      </c>
      <c r="C569" s="1" t="n">
        <v>45667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53291-2021</t>
        </is>
      </c>
      <c r="B570" s="1" t="n">
        <v>44468</v>
      </c>
      <c r="C570" s="1" t="n">
        <v>45667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53296-2021</t>
        </is>
      </c>
      <c r="B571" s="1" t="n">
        <v>44468</v>
      </c>
      <c r="C571" s="1" t="n">
        <v>45667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54209-2021</t>
        </is>
      </c>
      <c r="B572" s="1" t="n">
        <v>44470</v>
      </c>
      <c r="C572" s="1" t="n">
        <v>45667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54369-2021</t>
        </is>
      </c>
      <c r="B573" s="1" t="n">
        <v>44473</v>
      </c>
      <c r="C573" s="1" t="n">
        <v>45667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54712-2021</t>
        </is>
      </c>
      <c r="B574" s="1" t="n">
        <v>44473</v>
      </c>
      <c r="C574" s="1" t="n">
        <v>45667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54733-2021</t>
        </is>
      </c>
      <c r="B575" s="1" t="n">
        <v>44473</v>
      </c>
      <c r="C575" s="1" t="n">
        <v>45667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54944-2021</t>
        </is>
      </c>
      <c r="B576" s="1" t="n">
        <v>44474</v>
      </c>
      <c r="C576" s="1" t="n">
        <v>45667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56140-2021</t>
        </is>
      </c>
      <c r="B577" s="1" t="n">
        <v>44477</v>
      </c>
      <c r="C577" s="1" t="n">
        <v>45667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56368-2021</t>
        </is>
      </c>
      <c r="B578" s="1" t="n">
        <v>44480</v>
      </c>
      <c r="C578" s="1" t="n">
        <v>45667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56944-2021</t>
        </is>
      </c>
      <c r="B579" s="1" t="n">
        <v>44482</v>
      </c>
      <c r="C579" s="1" t="n">
        <v>45667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57184-2021</t>
        </is>
      </c>
      <c r="B580" s="1" t="n">
        <v>44482</v>
      </c>
      <c r="C580" s="1" t="n">
        <v>45667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57689-2021</t>
        </is>
      </c>
      <c r="B581" s="1" t="n">
        <v>44484</v>
      </c>
      <c r="C581" s="1" t="n">
        <v>45667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57707-2021</t>
        </is>
      </c>
      <c r="B582" s="1" t="n">
        <v>44484</v>
      </c>
      <c r="C582" s="1" t="n">
        <v>45667</v>
      </c>
      <c r="D582" t="inlineStr">
        <is>
          <t>KALMAR LÄN</t>
        </is>
      </c>
      <c r="E582" t="inlineStr">
        <is>
          <t>HULTSFRED</t>
        </is>
      </c>
      <c r="F582" t="inlineStr">
        <is>
          <t>Kyrkan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58294-2021</t>
        </is>
      </c>
      <c r="B583" s="1" t="n">
        <v>44488</v>
      </c>
      <c r="C583" s="1" t="n">
        <v>45667</v>
      </c>
      <c r="D583" t="inlineStr">
        <is>
          <t>KALMAR LÄN</t>
        </is>
      </c>
      <c r="E583" t="inlineStr">
        <is>
          <t>HULTSFRED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58348-2021</t>
        </is>
      </c>
      <c r="B584" s="1" t="n">
        <v>44488</v>
      </c>
      <c r="C584" s="1" t="n">
        <v>45667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59134-2021</t>
        </is>
      </c>
      <c r="B585" s="1" t="n">
        <v>44490</v>
      </c>
      <c r="C585" s="1" t="n">
        <v>45667</v>
      </c>
      <c r="D585" t="inlineStr">
        <is>
          <t>KALMAR LÄN</t>
        </is>
      </c>
      <c r="E585" t="inlineStr">
        <is>
          <t>HULTSFRED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59032-2021</t>
        </is>
      </c>
      <c r="B586" s="1" t="n">
        <v>44490</v>
      </c>
      <c r="C586" s="1" t="n">
        <v>45667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59150-2021</t>
        </is>
      </c>
      <c r="B587" s="1" t="n">
        <v>44490</v>
      </c>
      <c r="C587" s="1" t="n">
        <v>45667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59203-2021</t>
        </is>
      </c>
      <c r="B588" s="1" t="n">
        <v>44490</v>
      </c>
      <c r="C588" s="1" t="n">
        <v>45667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60525-2021</t>
        </is>
      </c>
      <c r="B589" s="1" t="n">
        <v>44496</v>
      </c>
      <c r="C589" s="1" t="n">
        <v>45667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60719-2021</t>
        </is>
      </c>
      <c r="B590" s="1" t="n">
        <v>44496</v>
      </c>
      <c r="C590" s="1" t="n">
        <v>45667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61211-2021</t>
        </is>
      </c>
      <c r="B591" s="1" t="n">
        <v>44498</v>
      </c>
      <c r="C591" s="1" t="n">
        <v>45667</v>
      </c>
      <c r="D591" t="inlineStr">
        <is>
          <t>KALMAR LÄN</t>
        </is>
      </c>
      <c r="E591" t="inlineStr">
        <is>
          <t>HULTSFRED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62361-2021</t>
        </is>
      </c>
      <c r="B592" s="1" t="n">
        <v>44502</v>
      </c>
      <c r="C592" s="1" t="n">
        <v>45667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64265-2021</t>
        </is>
      </c>
      <c r="B593" s="1" t="n">
        <v>44510</v>
      </c>
      <c r="C593" s="1" t="n">
        <v>45667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64463-2021</t>
        </is>
      </c>
      <c r="B594" s="1" t="n">
        <v>44511</v>
      </c>
      <c r="C594" s="1" t="n">
        <v>45667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65533-2021</t>
        </is>
      </c>
      <c r="B595" s="1" t="n">
        <v>44516</v>
      </c>
      <c r="C595" s="1" t="n">
        <v>45667</v>
      </c>
      <c r="D595" t="inlineStr">
        <is>
          <t>KALMAR LÄN</t>
        </is>
      </c>
      <c r="E595" t="inlineStr">
        <is>
          <t>HULTSFRED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65529-2021</t>
        </is>
      </c>
      <c r="B596" s="1" t="n">
        <v>44516</v>
      </c>
      <c r="C596" s="1" t="n">
        <v>45667</v>
      </c>
      <c r="D596" t="inlineStr">
        <is>
          <t>KALMAR LÄN</t>
        </is>
      </c>
      <c r="E596" t="inlineStr">
        <is>
          <t>HULTSFRED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65831-2021</t>
        </is>
      </c>
      <c r="B597" s="1" t="n">
        <v>44517</v>
      </c>
      <c r="C597" s="1" t="n">
        <v>45667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66721-2021</t>
        </is>
      </c>
      <c r="B598" s="1" t="n">
        <v>44520</v>
      </c>
      <c r="C598" s="1" t="n">
        <v>45667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66722-2021</t>
        </is>
      </c>
      <c r="B599" s="1" t="n">
        <v>44520</v>
      </c>
      <c r="C599" s="1" t="n">
        <v>45667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66725-2021</t>
        </is>
      </c>
      <c r="B600" s="1" t="n">
        <v>44520</v>
      </c>
      <c r="C600" s="1" t="n">
        <v>45667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66729-2021</t>
        </is>
      </c>
      <c r="B601" s="1" t="n">
        <v>44520</v>
      </c>
      <c r="C601" s="1" t="n">
        <v>45667</v>
      </c>
      <c r="D601" t="inlineStr">
        <is>
          <t>KALMAR LÄN</t>
        </is>
      </c>
      <c r="E601" t="inlineStr">
        <is>
          <t>HULTSFRED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66728-2021</t>
        </is>
      </c>
      <c r="B602" s="1" t="n">
        <v>44520</v>
      </c>
      <c r="C602" s="1" t="n">
        <v>45667</v>
      </c>
      <c r="D602" t="inlineStr">
        <is>
          <t>KALMAR LÄN</t>
        </is>
      </c>
      <c r="E602" t="inlineStr">
        <is>
          <t>HULTSFRED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67752-2021</t>
        </is>
      </c>
      <c r="B603" s="1" t="n">
        <v>44525</v>
      </c>
      <c r="C603" s="1" t="n">
        <v>45667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67760-2021</t>
        </is>
      </c>
      <c r="B604" s="1" t="n">
        <v>44525</v>
      </c>
      <c r="C604" s="1" t="n">
        <v>45667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67758-2021</t>
        </is>
      </c>
      <c r="B605" s="1" t="n">
        <v>44525</v>
      </c>
      <c r="C605" s="1" t="n">
        <v>45667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68090-2021</t>
        </is>
      </c>
      <c r="B606" s="1" t="n">
        <v>44526</v>
      </c>
      <c r="C606" s="1" t="n">
        <v>45667</v>
      </c>
      <c r="D606" t="inlineStr">
        <is>
          <t>KALMAR LÄN</t>
        </is>
      </c>
      <c r="E606" t="inlineStr">
        <is>
          <t>HULTSFRED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68102-2021</t>
        </is>
      </c>
      <c r="B607" s="1" t="n">
        <v>44526</v>
      </c>
      <c r="C607" s="1" t="n">
        <v>45667</v>
      </c>
      <c r="D607" t="inlineStr">
        <is>
          <t>KALMAR LÄN</t>
        </is>
      </c>
      <c r="E607" t="inlineStr">
        <is>
          <t>HULTSFRED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68088-2021</t>
        </is>
      </c>
      <c r="B608" s="1" t="n">
        <v>44526</v>
      </c>
      <c r="C608" s="1" t="n">
        <v>45667</v>
      </c>
      <c r="D608" t="inlineStr">
        <is>
          <t>KALMAR LÄN</t>
        </is>
      </c>
      <c r="E608" t="inlineStr">
        <is>
          <t>HULTSFRED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68091-2021</t>
        </is>
      </c>
      <c r="B609" s="1" t="n">
        <v>44526</v>
      </c>
      <c r="C609" s="1" t="n">
        <v>45667</v>
      </c>
      <c r="D609" t="inlineStr">
        <is>
          <t>KALMAR LÄN</t>
        </is>
      </c>
      <c r="E609" t="inlineStr">
        <is>
          <t>HULTSFRED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68991-2021</t>
        </is>
      </c>
      <c r="B610" s="1" t="n">
        <v>44529</v>
      </c>
      <c r="C610" s="1" t="n">
        <v>45667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68803-2021</t>
        </is>
      </c>
      <c r="B611" s="1" t="n">
        <v>44530</v>
      </c>
      <c r="C611" s="1" t="n">
        <v>45667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68824-2021</t>
        </is>
      </c>
      <c r="B612" s="1" t="n">
        <v>44530</v>
      </c>
      <c r="C612" s="1" t="n">
        <v>45667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68818-2021</t>
        </is>
      </c>
      <c r="B613" s="1" t="n">
        <v>44530</v>
      </c>
      <c r="C613" s="1" t="n">
        <v>45667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69242-2021</t>
        </is>
      </c>
      <c r="B614" s="1" t="n">
        <v>44531</v>
      </c>
      <c r="C614" s="1" t="n">
        <v>45667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69212-2021</t>
        </is>
      </c>
      <c r="B615" s="1" t="n">
        <v>44531</v>
      </c>
      <c r="C615" s="1" t="n">
        <v>45667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69566-2021</t>
        </is>
      </c>
      <c r="B616" s="1" t="n">
        <v>44532</v>
      </c>
      <c r="C616" s="1" t="n">
        <v>45667</v>
      </c>
      <c r="D616" t="inlineStr">
        <is>
          <t>KALMAR LÄN</t>
        </is>
      </c>
      <c r="E616" t="inlineStr">
        <is>
          <t>HULTSFRED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69653-2021</t>
        </is>
      </c>
      <c r="B617" s="1" t="n">
        <v>44532</v>
      </c>
      <c r="C617" s="1" t="n">
        <v>45667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69830-2021</t>
        </is>
      </c>
      <c r="B618" s="1" t="n">
        <v>44532</v>
      </c>
      <c r="C618" s="1" t="n">
        <v>45667</v>
      </c>
      <c r="D618" t="inlineStr">
        <is>
          <t>KALMAR LÄN</t>
        </is>
      </c>
      <c r="E618" t="inlineStr">
        <is>
          <t>HULTSFRED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69764-2021</t>
        </is>
      </c>
      <c r="B619" s="1" t="n">
        <v>44532</v>
      </c>
      <c r="C619" s="1" t="n">
        <v>45667</v>
      </c>
      <c r="D619" t="inlineStr">
        <is>
          <t>KALMAR LÄN</t>
        </is>
      </c>
      <c r="E619" t="inlineStr">
        <is>
          <t>HULTSFRED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70376-2021</t>
        </is>
      </c>
      <c r="B620" s="1" t="n">
        <v>44536</v>
      </c>
      <c r="C620" s="1" t="n">
        <v>45667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70604-2021</t>
        </is>
      </c>
      <c r="B621" s="1" t="n">
        <v>44537</v>
      </c>
      <c r="C621" s="1" t="n">
        <v>45667</v>
      </c>
      <c r="D621" t="inlineStr">
        <is>
          <t>KALMAR LÄN</t>
        </is>
      </c>
      <c r="E621" t="inlineStr">
        <is>
          <t>HULTSFRED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70600-2021</t>
        </is>
      </c>
      <c r="B622" s="1" t="n">
        <v>44537</v>
      </c>
      <c r="C622" s="1" t="n">
        <v>45667</v>
      </c>
      <c r="D622" t="inlineStr">
        <is>
          <t>KALMAR LÄN</t>
        </is>
      </c>
      <c r="E622" t="inlineStr">
        <is>
          <t>HULTSFRED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72708-2021</t>
        </is>
      </c>
      <c r="B623" s="1" t="n">
        <v>44546</v>
      </c>
      <c r="C623" s="1" t="n">
        <v>45667</v>
      </c>
      <c r="D623" t="inlineStr">
        <is>
          <t>KALMAR LÄN</t>
        </is>
      </c>
      <c r="E623" t="inlineStr">
        <is>
          <t>HULTSFRED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72860-2021</t>
        </is>
      </c>
      <c r="B624" s="1" t="n">
        <v>44547</v>
      </c>
      <c r="C624" s="1" t="n">
        <v>45667</v>
      </c>
      <c r="D624" t="inlineStr">
        <is>
          <t>KALMAR LÄN</t>
        </is>
      </c>
      <c r="E624" t="inlineStr">
        <is>
          <t>HULTSFRED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72979-2021</t>
        </is>
      </c>
      <c r="B625" s="1" t="n">
        <v>44549</v>
      </c>
      <c r="C625" s="1" t="n">
        <v>45667</v>
      </c>
      <c r="D625" t="inlineStr">
        <is>
          <t>KALMAR LÄN</t>
        </is>
      </c>
      <c r="E625" t="inlineStr">
        <is>
          <t>HULTSFRED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73484-2021</t>
        </is>
      </c>
      <c r="B626" s="1" t="n">
        <v>44551</v>
      </c>
      <c r="C626" s="1" t="n">
        <v>45667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73794-2021</t>
        </is>
      </c>
      <c r="B627" s="1" t="n">
        <v>44552</v>
      </c>
      <c r="C627" s="1" t="n">
        <v>45667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73949-2021</t>
        </is>
      </c>
      <c r="B628" s="1" t="n">
        <v>44552</v>
      </c>
      <c r="C628" s="1" t="n">
        <v>45667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299-2022</t>
        </is>
      </c>
      <c r="B629" s="1" t="n">
        <v>44564</v>
      </c>
      <c r="C629" s="1" t="n">
        <v>45667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211-2022</t>
        </is>
      </c>
      <c r="B630" s="1" t="n">
        <v>44564</v>
      </c>
      <c r="C630" s="1" t="n">
        <v>45667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298-2022</t>
        </is>
      </c>
      <c r="B631" s="1" t="n">
        <v>44564</v>
      </c>
      <c r="C631" s="1" t="n">
        <v>45667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262-2022</t>
        </is>
      </c>
      <c r="B632" s="1" t="n">
        <v>44565</v>
      </c>
      <c r="C632" s="1" t="n">
        <v>45667</v>
      </c>
      <c r="D632" t="inlineStr">
        <is>
          <t>KALMAR LÄN</t>
        </is>
      </c>
      <c r="E632" t="inlineStr">
        <is>
          <t>HULTSFRED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3058-2022</t>
        </is>
      </c>
      <c r="B633" s="1" t="n">
        <v>44582</v>
      </c>
      <c r="C633" s="1" t="n">
        <v>45667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3102-2022</t>
        </is>
      </c>
      <c r="B634" s="1" t="n">
        <v>44582</v>
      </c>
      <c r="C634" s="1" t="n">
        <v>45667</v>
      </c>
      <c r="D634" t="inlineStr">
        <is>
          <t>KALMAR LÄN</t>
        </is>
      </c>
      <c r="E634" t="inlineStr">
        <is>
          <t>HULTSFRED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3910-2022</t>
        </is>
      </c>
      <c r="B635" s="1" t="n">
        <v>44587</v>
      </c>
      <c r="C635" s="1" t="n">
        <v>45667</v>
      </c>
      <c r="D635" t="inlineStr">
        <is>
          <t>KALMAR LÄN</t>
        </is>
      </c>
      <c r="E635" t="inlineStr">
        <is>
          <t>HULTSFRED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3914-2022</t>
        </is>
      </c>
      <c r="B636" s="1" t="n">
        <v>44587</v>
      </c>
      <c r="C636" s="1" t="n">
        <v>45667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4835-2022</t>
        </is>
      </c>
      <c r="B637" s="1" t="n">
        <v>44592</v>
      </c>
      <c r="C637" s="1" t="n">
        <v>45667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4944-2022</t>
        </is>
      </c>
      <c r="B638" s="1" t="n">
        <v>44593</v>
      </c>
      <c r="C638" s="1" t="n">
        <v>45667</v>
      </c>
      <c r="D638" t="inlineStr">
        <is>
          <t>KALMAR LÄN</t>
        </is>
      </c>
      <c r="E638" t="inlineStr">
        <is>
          <t>HULTSFRED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4998-2022</t>
        </is>
      </c>
      <c r="B639" s="1" t="n">
        <v>44593</v>
      </c>
      <c r="C639" s="1" t="n">
        <v>45667</v>
      </c>
      <c r="D639" t="inlineStr">
        <is>
          <t>KALMAR LÄN</t>
        </is>
      </c>
      <c r="E639" t="inlineStr">
        <is>
          <t>HULTSFRED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5269-2022</t>
        </is>
      </c>
      <c r="B640" s="1" t="n">
        <v>44594</v>
      </c>
      <c r="C640" s="1" t="n">
        <v>45667</v>
      </c>
      <c r="D640" t="inlineStr">
        <is>
          <t>KALMAR LÄN</t>
        </is>
      </c>
      <c r="E640" t="inlineStr">
        <is>
          <t>HULTSFRED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5278-2022</t>
        </is>
      </c>
      <c r="B641" s="1" t="n">
        <v>44594</v>
      </c>
      <c r="C641" s="1" t="n">
        <v>45667</v>
      </c>
      <c r="D641" t="inlineStr">
        <is>
          <t>KALMAR LÄN</t>
        </is>
      </c>
      <c r="E641" t="inlineStr">
        <is>
          <t>HULTSFRED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6016-2022</t>
        </is>
      </c>
      <c r="B642" s="1" t="n">
        <v>44599</v>
      </c>
      <c r="C642" s="1" t="n">
        <v>45667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7271-2022</t>
        </is>
      </c>
      <c r="B643" s="1" t="n">
        <v>44606</v>
      </c>
      <c r="C643" s="1" t="n">
        <v>45667</v>
      </c>
      <c r="D643" t="inlineStr">
        <is>
          <t>KALMAR LÄN</t>
        </is>
      </c>
      <c r="E643" t="inlineStr">
        <is>
          <t>HULTSFRED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7270-2022</t>
        </is>
      </c>
      <c r="B644" s="1" t="n">
        <v>44606</v>
      </c>
      <c r="C644" s="1" t="n">
        <v>45667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7843-2022</t>
        </is>
      </c>
      <c r="B645" s="1" t="n">
        <v>44608</v>
      </c>
      <c r="C645" s="1" t="n">
        <v>45667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8199-2022</t>
        </is>
      </c>
      <c r="B646" s="1" t="n">
        <v>44609</v>
      </c>
      <c r="C646" s="1" t="n">
        <v>45667</v>
      </c>
      <c r="D646" t="inlineStr">
        <is>
          <t>KALMAR LÄN</t>
        </is>
      </c>
      <c r="E646" t="inlineStr">
        <is>
          <t>HULTSFRED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8198-2022</t>
        </is>
      </c>
      <c r="B647" s="1" t="n">
        <v>44609</v>
      </c>
      <c r="C647" s="1" t="n">
        <v>45667</v>
      </c>
      <c r="D647" t="inlineStr">
        <is>
          <t>KALMAR LÄN</t>
        </is>
      </c>
      <c r="E647" t="inlineStr">
        <is>
          <t>HULTSFRED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8402-2022</t>
        </is>
      </c>
      <c r="B648" s="1" t="n">
        <v>44610</v>
      </c>
      <c r="C648" s="1" t="n">
        <v>45667</v>
      </c>
      <c r="D648" t="inlineStr">
        <is>
          <t>KALMAR LÄN</t>
        </is>
      </c>
      <c r="E648" t="inlineStr">
        <is>
          <t>HULTSFRED</t>
        </is>
      </c>
      <c r="F648" t="inlineStr">
        <is>
          <t>Kommuner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8439-2022</t>
        </is>
      </c>
      <c r="B649" s="1" t="n">
        <v>44612</v>
      </c>
      <c r="C649" s="1" t="n">
        <v>45667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8930-2022</t>
        </is>
      </c>
      <c r="B650" s="1" t="n">
        <v>44614</v>
      </c>
      <c r="C650" s="1" t="n">
        <v>45667</v>
      </c>
      <c r="D650" t="inlineStr">
        <is>
          <t>KALMAR LÄN</t>
        </is>
      </c>
      <c r="E650" t="inlineStr">
        <is>
          <t>HULTSFRED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9571-2022</t>
        </is>
      </c>
      <c r="B651" s="1" t="n">
        <v>44617</v>
      </c>
      <c r="C651" s="1" t="n">
        <v>45667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10555-2022</t>
        </is>
      </c>
      <c r="B652" s="1" t="n">
        <v>44623</v>
      </c>
      <c r="C652" s="1" t="n">
        <v>45667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10643-2022</t>
        </is>
      </c>
      <c r="B653" s="1" t="n">
        <v>44624</v>
      </c>
      <c r="C653" s="1" t="n">
        <v>45667</v>
      </c>
      <c r="D653" t="inlineStr">
        <is>
          <t>KALMAR LÄN</t>
        </is>
      </c>
      <c r="E653" t="inlineStr">
        <is>
          <t>HULTSFRED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10633-2022</t>
        </is>
      </c>
      <c r="B654" s="1" t="n">
        <v>44624</v>
      </c>
      <c r="C654" s="1" t="n">
        <v>45667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10644-2022</t>
        </is>
      </c>
      <c r="B655" s="1" t="n">
        <v>44624</v>
      </c>
      <c r="C655" s="1" t="n">
        <v>45667</v>
      </c>
      <c r="D655" t="inlineStr">
        <is>
          <t>KALMAR LÄN</t>
        </is>
      </c>
      <c r="E655" t="inlineStr">
        <is>
          <t>HULTSFRED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11566-2022</t>
        </is>
      </c>
      <c r="B656" s="1" t="n">
        <v>44631</v>
      </c>
      <c r="C656" s="1" t="n">
        <v>45667</v>
      </c>
      <c r="D656" t="inlineStr">
        <is>
          <t>KALMAR LÄN</t>
        </is>
      </c>
      <c r="E656" t="inlineStr">
        <is>
          <t>HULTSFRED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11562-2022</t>
        </is>
      </c>
      <c r="B657" s="1" t="n">
        <v>44631</v>
      </c>
      <c r="C657" s="1" t="n">
        <v>45667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11565-2022</t>
        </is>
      </c>
      <c r="B658" s="1" t="n">
        <v>44631</v>
      </c>
      <c r="C658" s="1" t="n">
        <v>45667</v>
      </c>
      <c r="D658" t="inlineStr">
        <is>
          <t>KALMAR LÄN</t>
        </is>
      </c>
      <c r="E658" t="inlineStr">
        <is>
          <t>HULTSFRED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12976-2022</t>
        </is>
      </c>
      <c r="B659" s="1" t="n">
        <v>44643</v>
      </c>
      <c r="C659" s="1" t="n">
        <v>45667</v>
      </c>
      <c r="D659" t="inlineStr">
        <is>
          <t>KALMAR LÄN</t>
        </is>
      </c>
      <c r="E659" t="inlineStr">
        <is>
          <t>HULTSFRED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13473-2022</t>
        </is>
      </c>
      <c r="B660" s="1" t="n">
        <v>44645</v>
      </c>
      <c r="C660" s="1" t="n">
        <v>45667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13472-2022</t>
        </is>
      </c>
      <c r="B661" s="1" t="n">
        <v>44645</v>
      </c>
      <c r="C661" s="1" t="n">
        <v>45667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14013-2022</t>
        </is>
      </c>
      <c r="B662" s="1" t="n">
        <v>44650</v>
      </c>
      <c r="C662" s="1" t="n">
        <v>45667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14094-2022</t>
        </is>
      </c>
      <c r="B663" s="1" t="n">
        <v>44651</v>
      </c>
      <c r="C663" s="1" t="n">
        <v>45667</v>
      </c>
      <c r="D663" t="inlineStr">
        <is>
          <t>KALMAR LÄN</t>
        </is>
      </c>
      <c r="E663" t="inlineStr">
        <is>
          <t>HULTSFRED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14111-2022</t>
        </is>
      </c>
      <c r="B664" s="1" t="n">
        <v>44651</v>
      </c>
      <c r="C664" s="1" t="n">
        <v>45667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14599-2022</t>
        </is>
      </c>
      <c r="B665" s="1" t="n">
        <v>44655</v>
      </c>
      <c r="C665" s="1" t="n">
        <v>45667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16193-2022</t>
        </is>
      </c>
      <c r="B666" s="1" t="n">
        <v>44670</v>
      </c>
      <c r="C666" s="1" t="n">
        <v>45667</v>
      </c>
      <c r="D666" t="inlineStr">
        <is>
          <t>KALMAR LÄN</t>
        </is>
      </c>
      <c r="E666" t="inlineStr">
        <is>
          <t>HULTSFRED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16813-2022</t>
        </is>
      </c>
      <c r="B667" s="1" t="n">
        <v>44673</v>
      </c>
      <c r="C667" s="1" t="n">
        <v>45667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16902-2022</t>
        </is>
      </c>
      <c r="B668" s="1" t="n">
        <v>44676</v>
      </c>
      <c r="C668" s="1" t="n">
        <v>45667</v>
      </c>
      <c r="D668" t="inlineStr">
        <is>
          <t>KALMAR LÄN</t>
        </is>
      </c>
      <c r="E668" t="inlineStr">
        <is>
          <t>HULTSFRED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17966-2022</t>
        </is>
      </c>
      <c r="B669" s="1" t="n">
        <v>44683</v>
      </c>
      <c r="C669" s="1" t="n">
        <v>45667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18274-2022</t>
        </is>
      </c>
      <c r="B670" s="1" t="n">
        <v>44685</v>
      </c>
      <c r="C670" s="1" t="n">
        <v>45667</v>
      </c>
      <c r="D670" t="inlineStr">
        <is>
          <t>KALMAR LÄN</t>
        </is>
      </c>
      <c r="E670" t="inlineStr">
        <is>
          <t>HULTSFRED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18536-2022</t>
        </is>
      </c>
      <c r="B671" s="1" t="n">
        <v>44686</v>
      </c>
      <c r="C671" s="1" t="n">
        <v>45667</v>
      </c>
      <c r="D671" t="inlineStr">
        <is>
          <t>KALMAR LÄN</t>
        </is>
      </c>
      <c r="E671" t="inlineStr">
        <is>
          <t>HULTSFRED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19684-2022</t>
        </is>
      </c>
      <c r="B672" s="1" t="n">
        <v>44694</v>
      </c>
      <c r="C672" s="1" t="n">
        <v>45667</v>
      </c>
      <c r="D672" t="inlineStr">
        <is>
          <t>KALMAR LÄN</t>
        </is>
      </c>
      <c r="E672" t="inlineStr">
        <is>
          <t>HULTSFRED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20566-2022</t>
        </is>
      </c>
      <c r="B673" s="1" t="n">
        <v>44700</v>
      </c>
      <c r="C673" s="1" t="n">
        <v>45667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21268-2022</t>
        </is>
      </c>
      <c r="B674" s="1" t="n">
        <v>44705</v>
      </c>
      <c r="C674" s="1" t="n">
        <v>45667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21254-2022</t>
        </is>
      </c>
      <c r="B675" s="1" t="n">
        <v>44705</v>
      </c>
      <c r="C675" s="1" t="n">
        <v>45667</v>
      </c>
      <c r="D675" t="inlineStr">
        <is>
          <t>KALMAR LÄN</t>
        </is>
      </c>
      <c r="E675" t="inlineStr">
        <is>
          <t>HULTSFRED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21337-2022</t>
        </is>
      </c>
      <c r="B676" s="1" t="n">
        <v>44705</v>
      </c>
      <c r="C676" s="1" t="n">
        <v>45667</v>
      </c>
      <c r="D676" t="inlineStr">
        <is>
          <t>KALMAR LÄN</t>
        </is>
      </c>
      <c r="E676" t="inlineStr">
        <is>
          <t>HULTSFRED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22233-2022</t>
        </is>
      </c>
      <c r="B677" s="1" t="n">
        <v>44712</v>
      </c>
      <c r="C677" s="1" t="n">
        <v>45667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22229-2022</t>
        </is>
      </c>
      <c r="B678" s="1" t="n">
        <v>44712</v>
      </c>
      <c r="C678" s="1" t="n">
        <v>45667</v>
      </c>
      <c r="D678" t="inlineStr">
        <is>
          <t>KALMAR LÄN</t>
        </is>
      </c>
      <c r="E678" t="inlineStr">
        <is>
          <t>HULTSFRED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22443-2022</t>
        </is>
      </c>
      <c r="B679" s="1" t="n">
        <v>44713</v>
      </c>
      <c r="C679" s="1" t="n">
        <v>45667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22676-2022</t>
        </is>
      </c>
      <c r="B680" s="1" t="n">
        <v>44714</v>
      </c>
      <c r="C680" s="1" t="n">
        <v>45667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23147-2022</t>
        </is>
      </c>
      <c r="B681" s="1" t="n">
        <v>44719</v>
      </c>
      <c r="C681" s="1" t="n">
        <v>45667</v>
      </c>
      <c r="D681" t="inlineStr">
        <is>
          <t>KALMAR LÄN</t>
        </is>
      </c>
      <c r="E681" t="inlineStr">
        <is>
          <t>HULTSFRED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24257-2022</t>
        </is>
      </c>
      <c r="B682" s="1" t="n">
        <v>44725</v>
      </c>
      <c r="C682" s="1" t="n">
        <v>45667</v>
      </c>
      <c r="D682" t="inlineStr">
        <is>
          <t>KALMAR LÄN</t>
        </is>
      </c>
      <c r="E682" t="inlineStr">
        <is>
          <t>HULTSFRED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24258-2022</t>
        </is>
      </c>
      <c r="B683" s="1" t="n">
        <v>44725</v>
      </c>
      <c r="C683" s="1" t="n">
        <v>45667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25582-2022</t>
        </is>
      </c>
      <c r="B684" s="1" t="n">
        <v>44732</v>
      </c>
      <c r="C684" s="1" t="n">
        <v>45667</v>
      </c>
      <c r="D684" t="inlineStr">
        <is>
          <t>KALMAR LÄN</t>
        </is>
      </c>
      <c r="E684" t="inlineStr">
        <is>
          <t>HULTSFRED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26909-2022</t>
        </is>
      </c>
      <c r="B685" s="1" t="n">
        <v>44740</v>
      </c>
      <c r="C685" s="1" t="n">
        <v>45667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27256-2022</t>
        </is>
      </c>
      <c r="B686" s="1" t="n">
        <v>44741</v>
      </c>
      <c r="C686" s="1" t="n">
        <v>45667</v>
      </c>
      <c r="D686" t="inlineStr">
        <is>
          <t>KALMAR LÄN</t>
        </is>
      </c>
      <c r="E686" t="inlineStr">
        <is>
          <t>HULTSFRED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27259-2022</t>
        </is>
      </c>
      <c r="B687" s="1" t="n">
        <v>44741</v>
      </c>
      <c r="C687" s="1" t="n">
        <v>45667</v>
      </c>
      <c r="D687" t="inlineStr">
        <is>
          <t>KALMAR LÄN</t>
        </is>
      </c>
      <c r="E687" t="inlineStr">
        <is>
          <t>HULTSFRED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27810-2022</t>
        </is>
      </c>
      <c r="B688" s="1" t="n">
        <v>44743</v>
      </c>
      <c r="C688" s="1" t="n">
        <v>45667</v>
      </c>
      <c r="D688" t="inlineStr">
        <is>
          <t>KALMAR LÄN</t>
        </is>
      </c>
      <c r="E688" t="inlineStr">
        <is>
          <t>HULTSFRED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28878-2022</t>
        </is>
      </c>
      <c r="B689" s="1" t="n">
        <v>44749</v>
      </c>
      <c r="C689" s="1" t="n">
        <v>45667</v>
      </c>
      <c r="D689" t="inlineStr">
        <is>
          <t>KALMAR LÄN</t>
        </is>
      </c>
      <c r="E689" t="inlineStr">
        <is>
          <t>HULTSFRED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29741-2022</t>
        </is>
      </c>
      <c r="B690" s="1" t="n">
        <v>44755</v>
      </c>
      <c r="C690" s="1" t="n">
        <v>45667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32345-2022</t>
        </is>
      </c>
      <c r="B691" s="1" t="n">
        <v>44781</v>
      </c>
      <c r="C691" s="1" t="n">
        <v>45667</v>
      </c>
      <c r="D691" t="inlineStr">
        <is>
          <t>KALMAR LÄN</t>
        </is>
      </c>
      <c r="E691" t="inlineStr">
        <is>
          <t>HULTSFRED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33271-2022</t>
        </is>
      </c>
      <c r="B692" s="1" t="n">
        <v>44788</v>
      </c>
      <c r="C692" s="1" t="n">
        <v>45667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34565-2022</t>
        </is>
      </c>
      <c r="B693" s="1" t="n">
        <v>44794</v>
      </c>
      <c r="C693" s="1" t="n">
        <v>45667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34564-2022</t>
        </is>
      </c>
      <c r="B694" s="1" t="n">
        <v>44794</v>
      </c>
      <c r="C694" s="1" t="n">
        <v>45667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37377-2022</t>
        </is>
      </c>
      <c r="B695" s="1" t="n">
        <v>44809</v>
      </c>
      <c r="C695" s="1" t="n">
        <v>45667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37916-2022</t>
        </is>
      </c>
      <c r="B696" s="1" t="n">
        <v>44811</v>
      </c>
      <c r="C696" s="1" t="n">
        <v>45667</v>
      </c>
      <c r="D696" t="inlineStr">
        <is>
          <t>KALMAR LÄN</t>
        </is>
      </c>
      <c r="E696" t="inlineStr">
        <is>
          <t>HULTSFRED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37919-2022</t>
        </is>
      </c>
      <c r="B697" s="1" t="n">
        <v>44811</v>
      </c>
      <c r="C697" s="1" t="n">
        <v>45667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37960-2022</t>
        </is>
      </c>
      <c r="B698" s="1" t="n">
        <v>44811</v>
      </c>
      <c r="C698" s="1" t="n">
        <v>45667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38971-2022</t>
        </is>
      </c>
      <c r="B699" s="1" t="n">
        <v>44816</v>
      </c>
      <c r="C699" s="1" t="n">
        <v>45667</v>
      </c>
      <c r="D699" t="inlineStr">
        <is>
          <t>KALMAR LÄN</t>
        </is>
      </c>
      <c r="E699" t="inlineStr">
        <is>
          <t>HULTSFRED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39598-2022</t>
        </is>
      </c>
      <c r="B700" s="1" t="n">
        <v>44818</v>
      </c>
      <c r="C700" s="1" t="n">
        <v>45667</v>
      </c>
      <c r="D700" t="inlineStr">
        <is>
          <t>KALMAR LÄN</t>
        </is>
      </c>
      <c r="E700" t="inlineStr">
        <is>
          <t>HULTSFRED</t>
        </is>
      </c>
      <c r="F700" t="inlineStr">
        <is>
          <t>Övriga Aktiebolag</t>
        </is>
      </c>
      <c r="G700" t="n">
        <v>17.1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39845-2022</t>
        </is>
      </c>
      <c r="B701" s="1" t="n">
        <v>44819</v>
      </c>
      <c r="C701" s="1" t="n">
        <v>45667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40792-2022</t>
        </is>
      </c>
      <c r="B702" s="1" t="n">
        <v>44824</v>
      </c>
      <c r="C702" s="1" t="n">
        <v>45667</v>
      </c>
      <c r="D702" t="inlineStr">
        <is>
          <t>KALMAR LÄN</t>
        </is>
      </c>
      <c r="E702" t="inlineStr">
        <is>
          <t>HULTSFRED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40865-2022</t>
        </is>
      </c>
      <c r="B703" s="1" t="n">
        <v>44825</v>
      </c>
      <c r="C703" s="1" t="n">
        <v>45667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40877-2022</t>
        </is>
      </c>
      <c r="B704" s="1" t="n">
        <v>44825</v>
      </c>
      <c r="C704" s="1" t="n">
        <v>45667</v>
      </c>
      <c r="D704" t="inlineStr">
        <is>
          <t>KALMAR LÄN</t>
        </is>
      </c>
      <c r="E704" t="inlineStr">
        <is>
          <t>HULTSFRED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41277-2022</t>
        </is>
      </c>
      <c r="B705" s="1" t="n">
        <v>44826</v>
      </c>
      <c r="C705" s="1" t="n">
        <v>45667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41695-2022</t>
        </is>
      </c>
      <c r="B706" s="1" t="n">
        <v>44827</v>
      </c>
      <c r="C706" s="1" t="n">
        <v>45667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41731-2022</t>
        </is>
      </c>
      <c r="B707" s="1" t="n">
        <v>44827</v>
      </c>
      <c r="C707" s="1" t="n">
        <v>45667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41694-2022</t>
        </is>
      </c>
      <c r="B708" s="1" t="n">
        <v>44827</v>
      </c>
      <c r="C708" s="1" t="n">
        <v>45667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41699-2022</t>
        </is>
      </c>
      <c r="B709" s="1" t="n">
        <v>44827</v>
      </c>
      <c r="C709" s="1" t="n">
        <v>45667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41729-2022</t>
        </is>
      </c>
      <c r="B710" s="1" t="n">
        <v>44827</v>
      </c>
      <c r="C710" s="1" t="n">
        <v>45667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41617-2022</t>
        </is>
      </c>
      <c r="B711" s="1" t="n">
        <v>44827</v>
      </c>
      <c r="C711" s="1" t="n">
        <v>45667</v>
      </c>
      <c r="D711" t="inlineStr">
        <is>
          <t>KALMAR LÄN</t>
        </is>
      </c>
      <c r="E711" t="inlineStr">
        <is>
          <t>HULTSFRED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41728-2022</t>
        </is>
      </c>
      <c r="B712" s="1" t="n">
        <v>44827</v>
      </c>
      <c r="C712" s="1" t="n">
        <v>45667</v>
      </c>
      <c r="D712" t="inlineStr">
        <is>
          <t>KALMAR LÄN</t>
        </is>
      </c>
      <c r="E712" t="inlineStr">
        <is>
          <t>HULTSFRED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41976-2022</t>
        </is>
      </c>
      <c r="B713" s="1" t="n">
        <v>44830</v>
      </c>
      <c r="C713" s="1" t="n">
        <v>45667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42315-2022</t>
        </is>
      </c>
      <c r="B714" s="1" t="n">
        <v>44831</v>
      </c>
      <c r="C714" s="1" t="n">
        <v>45667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42498-2022</t>
        </is>
      </c>
      <c r="B715" s="1" t="n">
        <v>44831</v>
      </c>
      <c r="C715" s="1" t="n">
        <v>45667</v>
      </c>
      <c r="D715" t="inlineStr">
        <is>
          <t>KALMAR LÄN</t>
        </is>
      </c>
      <c r="E715" t="inlineStr">
        <is>
          <t>HULTSFRED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42436-2022</t>
        </is>
      </c>
      <c r="B716" s="1" t="n">
        <v>44831</v>
      </c>
      <c r="C716" s="1" t="n">
        <v>45667</v>
      </c>
      <c r="D716" t="inlineStr">
        <is>
          <t>KALMAR LÄN</t>
        </is>
      </c>
      <c r="E716" t="inlineStr">
        <is>
          <t>HULTSFRED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42567-2022</t>
        </is>
      </c>
      <c r="B717" s="1" t="n">
        <v>44831</v>
      </c>
      <c r="C717" s="1" t="n">
        <v>45667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42597-2022</t>
        </is>
      </c>
      <c r="B718" s="1" t="n">
        <v>44831</v>
      </c>
      <c r="C718" s="1" t="n">
        <v>45667</v>
      </c>
      <c r="D718" t="inlineStr">
        <is>
          <t>KALMAR LÄN</t>
        </is>
      </c>
      <c r="E718" t="inlineStr">
        <is>
          <t>HULTSFRED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42598-2022</t>
        </is>
      </c>
      <c r="B719" s="1" t="n">
        <v>44831</v>
      </c>
      <c r="C719" s="1" t="n">
        <v>45667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43096-2022</t>
        </is>
      </c>
      <c r="B720" s="1" t="n">
        <v>44833</v>
      </c>
      <c r="C720" s="1" t="n">
        <v>45667</v>
      </c>
      <c r="D720" t="inlineStr">
        <is>
          <t>KALMAR LÄN</t>
        </is>
      </c>
      <c r="E720" t="inlineStr">
        <is>
          <t>HULTSFRED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43108-2022</t>
        </is>
      </c>
      <c r="B721" s="1" t="n">
        <v>44833</v>
      </c>
      <c r="C721" s="1" t="n">
        <v>45667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43284-2022</t>
        </is>
      </c>
      <c r="B722" s="1" t="n">
        <v>44834</v>
      </c>
      <c r="C722" s="1" t="n">
        <v>45667</v>
      </c>
      <c r="D722" t="inlineStr">
        <is>
          <t>KALMAR LÄN</t>
        </is>
      </c>
      <c r="E722" t="inlineStr">
        <is>
          <t>HULTSFRED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44197-2022</t>
        </is>
      </c>
      <c r="B723" s="1" t="n">
        <v>44839</v>
      </c>
      <c r="C723" s="1" t="n">
        <v>45667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44200-2022</t>
        </is>
      </c>
      <c r="B724" s="1" t="n">
        <v>44839</v>
      </c>
      <c r="C724" s="1" t="n">
        <v>45667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44410-2022</t>
        </is>
      </c>
      <c r="B725" s="1" t="n">
        <v>44839</v>
      </c>
      <c r="C725" s="1" t="n">
        <v>45667</v>
      </c>
      <c r="D725" t="inlineStr">
        <is>
          <t>KALMAR LÄN</t>
        </is>
      </c>
      <c r="E725" t="inlineStr">
        <is>
          <t>HULTSFRED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45955-2022</t>
        </is>
      </c>
      <c r="B726" s="1" t="n">
        <v>44846</v>
      </c>
      <c r="C726" s="1" t="n">
        <v>45667</v>
      </c>
      <c r="D726" t="inlineStr">
        <is>
          <t>KALMAR LÄN</t>
        </is>
      </c>
      <c r="E726" t="inlineStr">
        <is>
          <t>HULTSFRED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47185-2022</t>
        </is>
      </c>
      <c r="B727" s="1" t="n">
        <v>44852</v>
      </c>
      <c r="C727" s="1" t="n">
        <v>45667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48964-2022</t>
        </is>
      </c>
      <c r="B728" s="1" t="n">
        <v>44860</v>
      </c>
      <c r="C728" s="1" t="n">
        <v>45667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49450-2022</t>
        </is>
      </c>
      <c r="B729" s="1" t="n">
        <v>44861</v>
      </c>
      <c r="C729" s="1" t="n">
        <v>45667</v>
      </c>
      <c r="D729" t="inlineStr">
        <is>
          <t>KALMAR LÄN</t>
        </is>
      </c>
      <c r="E729" t="inlineStr">
        <is>
          <t>HULTSFRED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49703-2022</t>
        </is>
      </c>
      <c r="B730" s="1" t="n">
        <v>44862</v>
      </c>
      <c r="C730" s="1" t="n">
        <v>45667</v>
      </c>
      <c r="D730" t="inlineStr">
        <is>
          <t>KALMAR LÄN</t>
        </is>
      </c>
      <c r="E730" t="inlineStr">
        <is>
          <t>HULTSFRED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51243-2022</t>
        </is>
      </c>
      <c r="B731" s="1" t="n">
        <v>44868</v>
      </c>
      <c r="C731" s="1" t="n">
        <v>45667</v>
      </c>
      <c r="D731" t="inlineStr">
        <is>
          <t>KALMAR LÄN</t>
        </is>
      </c>
      <c r="E731" t="inlineStr">
        <is>
          <t>HULTSFRED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52911-2022</t>
        </is>
      </c>
      <c r="B732" s="1" t="n">
        <v>44875</v>
      </c>
      <c r="C732" s="1" t="n">
        <v>45667</v>
      </c>
      <c r="D732" t="inlineStr">
        <is>
          <t>KALMAR LÄN</t>
        </is>
      </c>
      <c r="E732" t="inlineStr">
        <is>
          <t>HULTSFRED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53203-2022</t>
        </is>
      </c>
      <c r="B733" s="1" t="n">
        <v>44876</v>
      </c>
      <c r="C733" s="1" t="n">
        <v>45667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53726-2022</t>
        </is>
      </c>
      <c r="B734" s="1" t="n">
        <v>44880</v>
      </c>
      <c r="C734" s="1" t="n">
        <v>45667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53990-2022</t>
        </is>
      </c>
      <c r="B735" s="1" t="n">
        <v>44881</v>
      </c>
      <c r="C735" s="1" t="n">
        <v>45667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55396-2022</t>
        </is>
      </c>
      <c r="B736" s="1" t="n">
        <v>44882</v>
      </c>
      <c r="C736" s="1" t="n">
        <v>45667</v>
      </c>
      <c r="D736" t="inlineStr">
        <is>
          <t>KALMAR LÄN</t>
        </is>
      </c>
      <c r="E736" t="inlineStr">
        <is>
          <t>HULTSFRED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55400-2022</t>
        </is>
      </c>
      <c r="B737" s="1" t="n">
        <v>44887</v>
      </c>
      <c r="C737" s="1" t="n">
        <v>45667</v>
      </c>
      <c r="D737" t="inlineStr">
        <is>
          <t>KALMAR LÄN</t>
        </is>
      </c>
      <c r="E737" t="inlineStr">
        <is>
          <t>HULTSFRED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55403-2022</t>
        </is>
      </c>
      <c r="B738" s="1" t="n">
        <v>44887</v>
      </c>
      <c r="C738" s="1" t="n">
        <v>45667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55990-2022</t>
        </is>
      </c>
      <c r="B739" s="1" t="n">
        <v>44889</v>
      </c>
      <c r="C739" s="1" t="n">
        <v>45667</v>
      </c>
      <c r="D739" t="inlineStr">
        <is>
          <t>KALMAR LÄN</t>
        </is>
      </c>
      <c r="E739" t="inlineStr">
        <is>
          <t>HULTSFRED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56554-2022</t>
        </is>
      </c>
      <c r="B740" s="1" t="n">
        <v>44893</v>
      </c>
      <c r="C740" s="1" t="n">
        <v>45667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56913-2022</t>
        </is>
      </c>
      <c r="B741" s="1" t="n">
        <v>44894</v>
      </c>
      <c r="C741" s="1" t="n">
        <v>45667</v>
      </c>
      <c r="D741" t="inlineStr">
        <is>
          <t>KALMAR LÄN</t>
        </is>
      </c>
      <c r="E741" t="inlineStr">
        <is>
          <t>HULTSFRED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56919-2022</t>
        </is>
      </c>
      <c r="B742" s="1" t="n">
        <v>44894</v>
      </c>
      <c r="C742" s="1" t="n">
        <v>45667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57053-2022</t>
        </is>
      </c>
      <c r="B743" s="1" t="n">
        <v>44895</v>
      </c>
      <c r="C743" s="1" t="n">
        <v>45667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57479-2022</t>
        </is>
      </c>
      <c r="B744" s="1" t="n">
        <v>44896</v>
      </c>
      <c r="C744" s="1" t="n">
        <v>45667</v>
      </c>
      <c r="D744" t="inlineStr">
        <is>
          <t>KALMAR LÄN</t>
        </is>
      </c>
      <c r="E744" t="inlineStr">
        <is>
          <t>HULTSFRED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58383-2022</t>
        </is>
      </c>
      <c r="B745" s="1" t="n">
        <v>44901</v>
      </c>
      <c r="C745" s="1" t="n">
        <v>45667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60357-2022</t>
        </is>
      </c>
      <c r="B746" s="1" t="n">
        <v>44910</v>
      </c>
      <c r="C746" s="1" t="n">
        <v>45667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61549-2022</t>
        </is>
      </c>
      <c r="B747" s="1" t="n">
        <v>44916</v>
      </c>
      <c r="C747" s="1" t="n">
        <v>45667</v>
      </c>
      <c r="D747" t="inlineStr">
        <is>
          <t>KALMAR LÄN</t>
        </is>
      </c>
      <c r="E747" t="inlineStr">
        <is>
          <t>HULTSFRED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61667-2022</t>
        </is>
      </c>
      <c r="B748" s="1" t="n">
        <v>44917</v>
      </c>
      <c r="C748" s="1" t="n">
        <v>45667</v>
      </c>
      <c r="D748" t="inlineStr">
        <is>
          <t>KALMAR LÄN</t>
        </is>
      </c>
      <c r="E748" t="inlineStr">
        <is>
          <t>HULTSFRED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144-2023</t>
        </is>
      </c>
      <c r="B749" s="1" t="n">
        <v>44928</v>
      </c>
      <c r="C749" s="1" t="n">
        <v>45667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63-2023</t>
        </is>
      </c>
      <c r="B750" s="1" t="n">
        <v>44928</v>
      </c>
      <c r="C750" s="1" t="n">
        <v>45667</v>
      </c>
      <c r="D750" t="inlineStr">
        <is>
          <t>KALMAR LÄN</t>
        </is>
      </c>
      <c r="E750" t="inlineStr">
        <is>
          <t>HULTSFRED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115-2023</t>
        </is>
      </c>
      <c r="B751" s="1" t="n">
        <v>44928</v>
      </c>
      <c r="C751" s="1" t="n">
        <v>45667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112-2023</t>
        </is>
      </c>
      <c r="B752" s="1" t="n">
        <v>44928</v>
      </c>
      <c r="C752" s="1" t="n">
        <v>45667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1033-2023</t>
        </is>
      </c>
      <c r="B753" s="1" t="n">
        <v>44935</v>
      </c>
      <c r="C753" s="1" t="n">
        <v>45667</v>
      </c>
      <c r="D753" t="inlineStr">
        <is>
          <t>KALMAR LÄN</t>
        </is>
      </c>
      <c r="E753" t="inlineStr">
        <is>
          <t>HULTSFRED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1718-2023</t>
        </is>
      </c>
      <c r="B754" s="1" t="n">
        <v>44938</v>
      </c>
      <c r="C754" s="1" t="n">
        <v>45667</v>
      </c>
      <c r="D754" t="inlineStr">
        <is>
          <t>KALMAR LÄN</t>
        </is>
      </c>
      <c r="E754" t="inlineStr">
        <is>
          <t>HULTSFRED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1673-2023</t>
        </is>
      </c>
      <c r="B755" s="1" t="n">
        <v>44938</v>
      </c>
      <c r="C755" s="1" t="n">
        <v>45667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2507-2023</t>
        </is>
      </c>
      <c r="B756" s="1" t="n">
        <v>44939</v>
      </c>
      <c r="C756" s="1" t="n">
        <v>45667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2500-2023</t>
        </is>
      </c>
      <c r="B757" s="1" t="n">
        <v>44939</v>
      </c>
      <c r="C757" s="1" t="n">
        <v>45667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2629-2023</t>
        </is>
      </c>
      <c r="B758" s="1" t="n">
        <v>44942</v>
      </c>
      <c r="C758" s="1" t="n">
        <v>45667</v>
      </c>
      <c r="D758" t="inlineStr">
        <is>
          <t>KALMAR LÄN</t>
        </is>
      </c>
      <c r="E758" t="inlineStr">
        <is>
          <t>HULTSFRED</t>
        </is>
      </c>
      <c r="G758" t="n">
        <v>58.7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2588-2023</t>
        </is>
      </c>
      <c r="B759" s="1" t="n">
        <v>44943</v>
      </c>
      <c r="C759" s="1" t="n">
        <v>45667</v>
      </c>
      <c r="D759" t="inlineStr">
        <is>
          <t>KALMAR LÄN</t>
        </is>
      </c>
      <c r="E759" t="inlineStr">
        <is>
          <t>HULTSFRED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3337-2023</t>
        </is>
      </c>
      <c r="B760" s="1" t="n">
        <v>44949</v>
      </c>
      <c r="C760" s="1" t="n">
        <v>45667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3882-2023</t>
        </is>
      </c>
      <c r="B761" s="1" t="n">
        <v>44951</v>
      </c>
      <c r="C761" s="1" t="n">
        <v>45667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</v>
      </c>
      <c r="C762" s="1" t="n">
        <v>45667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4002-2023</t>
        </is>
      </c>
      <c r="B763" s="1" t="n">
        <v>44952</v>
      </c>
      <c r="C763" s="1" t="n">
        <v>45667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4974-2023</t>
        </is>
      </c>
      <c r="B764" s="1" t="n">
        <v>44958</v>
      </c>
      <c r="C764" s="1" t="n">
        <v>45667</v>
      </c>
      <c r="D764" t="inlineStr">
        <is>
          <t>KALMAR LÄN</t>
        </is>
      </c>
      <c r="E764" t="inlineStr">
        <is>
          <t>HULTSFRED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4972-2023</t>
        </is>
      </c>
      <c r="B765" s="1" t="n">
        <v>44958</v>
      </c>
      <c r="C765" s="1" t="n">
        <v>45667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5575-2023</t>
        </is>
      </c>
      <c r="B766" s="1" t="n">
        <v>44960</v>
      </c>
      <c r="C766" s="1" t="n">
        <v>45667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5578-2023</t>
        </is>
      </c>
      <c r="B767" s="1" t="n">
        <v>44960</v>
      </c>
      <c r="C767" s="1" t="n">
        <v>45667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5550-2023</t>
        </is>
      </c>
      <c r="B768" s="1" t="n">
        <v>44960</v>
      </c>
      <c r="C768" s="1" t="n">
        <v>45667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5573-2023</t>
        </is>
      </c>
      <c r="B769" s="1" t="n">
        <v>44960</v>
      </c>
      <c r="C769" s="1" t="n">
        <v>45667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5753-2023</t>
        </is>
      </c>
      <c r="B770" s="1" t="n">
        <v>44963</v>
      </c>
      <c r="C770" s="1" t="n">
        <v>45667</v>
      </c>
      <c r="D770" t="inlineStr">
        <is>
          <t>KALMAR LÄN</t>
        </is>
      </c>
      <c r="E770" t="inlineStr">
        <is>
          <t>HULTSFRED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5878-2023</t>
        </is>
      </c>
      <c r="B771" s="1" t="n">
        <v>44963</v>
      </c>
      <c r="C771" s="1" t="n">
        <v>45667</v>
      </c>
      <c r="D771" t="inlineStr">
        <is>
          <t>KALMAR LÄN</t>
        </is>
      </c>
      <c r="E771" t="inlineStr">
        <is>
          <t>HULTSFRED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5755-2023</t>
        </is>
      </c>
      <c r="B772" s="1" t="n">
        <v>44963</v>
      </c>
      <c r="C772" s="1" t="n">
        <v>45667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6128-2023</t>
        </is>
      </c>
      <c r="B773" s="1" t="n">
        <v>44964</v>
      </c>
      <c r="C773" s="1" t="n">
        <v>45667</v>
      </c>
      <c r="D773" t="inlineStr">
        <is>
          <t>KALMAR LÄN</t>
        </is>
      </c>
      <c r="E773" t="inlineStr">
        <is>
          <t>HULTSFRED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6649-2023</t>
        </is>
      </c>
      <c r="B774" s="1" t="n">
        <v>44966</v>
      </c>
      <c r="C774" s="1" t="n">
        <v>45667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7312-2023</t>
        </is>
      </c>
      <c r="B775" s="1" t="n">
        <v>44970</v>
      </c>
      <c r="C775" s="1" t="n">
        <v>45667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7221-2023</t>
        </is>
      </c>
      <c r="B776" s="1" t="n">
        <v>44970</v>
      </c>
      <c r="C776" s="1" t="n">
        <v>45667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7117-2023</t>
        </is>
      </c>
      <c r="B777" s="1" t="n">
        <v>44970</v>
      </c>
      <c r="C777" s="1" t="n">
        <v>45667</v>
      </c>
      <c r="D777" t="inlineStr">
        <is>
          <t>KALMAR LÄN</t>
        </is>
      </c>
      <c r="E777" t="inlineStr">
        <is>
          <t>HULTSFRED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7078-2023</t>
        </is>
      </c>
      <c r="B778" s="1" t="n">
        <v>44970</v>
      </c>
      <c r="C778" s="1" t="n">
        <v>45667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7310-2023</t>
        </is>
      </c>
      <c r="B779" s="1" t="n">
        <v>44970</v>
      </c>
      <c r="C779" s="1" t="n">
        <v>45667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7378-2023</t>
        </is>
      </c>
      <c r="B780" s="1" t="n">
        <v>44971</v>
      </c>
      <c r="C780" s="1" t="n">
        <v>45667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7348-2023</t>
        </is>
      </c>
      <c r="B781" s="1" t="n">
        <v>44971</v>
      </c>
      <c r="C781" s="1" t="n">
        <v>45667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7336-2023</t>
        </is>
      </c>
      <c r="B782" s="1" t="n">
        <v>44971</v>
      </c>
      <c r="C782" s="1" t="n">
        <v>45667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7361-2023</t>
        </is>
      </c>
      <c r="B783" s="1" t="n">
        <v>44971</v>
      </c>
      <c r="C783" s="1" t="n">
        <v>45667</v>
      </c>
      <c r="D783" t="inlineStr">
        <is>
          <t>KALMAR LÄN</t>
        </is>
      </c>
      <c r="E783" t="inlineStr">
        <is>
          <t>HULTSFRED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8337-2023</t>
        </is>
      </c>
      <c r="B784" s="1" t="n">
        <v>44975</v>
      </c>
      <c r="C784" s="1" t="n">
        <v>45667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8516-2023</t>
        </is>
      </c>
      <c r="B785" s="1" t="n">
        <v>44977</v>
      </c>
      <c r="C785" s="1" t="n">
        <v>45667</v>
      </c>
      <c r="D785" t="inlineStr">
        <is>
          <t>KALMAR LÄN</t>
        </is>
      </c>
      <c r="E785" t="inlineStr">
        <is>
          <t>HULTSFRED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9387-2023</t>
        </is>
      </c>
      <c r="B786" s="1" t="n">
        <v>44981</v>
      </c>
      <c r="C786" s="1" t="n">
        <v>45667</v>
      </c>
      <c r="D786" t="inlineStr">
        <is>
          <t>KALMAR LÄN</t>
        </is>
      </c>
      <c r="E786" t="inlineStr">
        <is>
          <t>HULTSFRED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10628-2023</t>
        </is>
      </c>
      <c r="B787" s="1" t="n">
        <v>44988</v>
      </c>
      <c r="C787" s="1" t="n">
        <v>45667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10631-2023</t>
        </is>
      </c>
      <c r="B788" s="1" t="n">
        <v>44988</v>
      </c>
      <c r="C788" s="1" t="n">
        <v>45667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10642-2023</t>
        </is>
      </c>
      <c r="B789" s="1" t="n">
        <v>44988</v>
      </c>
      <c r="C789" s="1" t="n">
        <v>45667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10966-2023</t>
        </is>
      </c>
      <c r="B790" s="1" t="n">
        <v>44991</v>
      </c>
      <c r="C790" s="1" t="n">
        <v>45667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11232-2023</t>
        </is>
      </c>
      <c r="B791" s="1" t="n">
        <v>44992</v>
      </c>
      <c r="C791" s="1" t="n">
        <v>45667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11235-2023</t>
        </is>
      </c>
      <c r="B792" s="1" t="n">
        <v>44992</v>
      </c>
      <c r="C792" s="1" t="n">
        <v>45667</v>
      </c>
      <c r="D792" t="inlineStr">
        <is>
          <t>KALMAR LÄN</t>
        </is>
      </c>
      <c r="E792" t="inlineStr">
        <is>
          <t>HULTSFRED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11648-2023</t>
        </is>
      </c>
      <c r="B793" s="1" t="n">
        <v>44994</v>
      </c>
      <c r="C793" s="1" t="n">
        <v>45667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11710-2023</t>
        </is>
      </c>
      <c r="B794" s="1" t="n">
        <v>44994</v>
      </c>
      <c r="C794" s="1" t="n">
        <v>45667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11706-2023</t>
        </is>
      </c>
      <c r="B795" s="1" t="n">
        <v>44994</v>
      </c>
      <c r="C795" s="1" t="n">
        <v>45667</v>
      </c>
      <c r="D795" t="inlineStr">
        <is>
          <t>KALMAR LÄN</t>
        </is>
      </c>
      <c r="E795" t="inlineStr">
        <is>
          <t>HULTSFRED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11703-2023</t>
        </is>
      </c>
      <c r="B796" s="1" t="n">
        <v>44994</v>
      </c>
      <c r="C796" s="1" t="n">
        <v>45667</v>
      </c>
      <c r="D796" t="inlineStr">
        <is>
          <t>KALMAR LÄN</t>
        </is>
      </c>
      <c r="E796" t="inlineStr">
        <is>
          <t>HULTSFRED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11938-2023</t>
        </is>
      </c>
      <c r="B797" s="1" t="n">
        <v>44995</v>
      </c>
      <c r="C797" s="1" t="n">
        <v>45667</v>
      </c>
      <c r="D797" t="inlineStr">
        <is>
          <t>KALMAR LÄN</t>
        </is>
      </c>
      <c r="E797" t="inlineStr">
        <is>
          <t>HULTSFRED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12166-2023</t>
        </is>
      </c>
      <c r="B798" s="1" t="n">
        <v>44998</v>
      </c>
      <c r="C798" s="1" t="n">
        <v>45667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12390-2023</t>
        </is>
      </c>
      <c r="B799" s="1" t="n">
        <v>44999</v>
      </c>
      <c r="C799" s="1" t="n">
        <v>45667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12394-2023</t>
        </is>
      </c>
      <c r="B800" s="1" t="n">
        <v>44999</v>
      </c>
      <c r="C800" s="1" t="n">
        <v>45667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12328-2023</t>
        </is>
      </c>
      <c r="B801" s="1" t="n">
        <v>44999</v>
      </c>
      <c r="C801" s="1" t="n">
        <v>45667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12335-2023</t>
        </is>
      </c>
      <c r="B802" s="1" t="n">
        <v>44999</v>
      </c>
      <c r="C802" s="1" t="n">
        <v>45667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13946-2023</t>
        </is>
      </c>
      <c r="B803" s="1" t="n">
        <v>45008</v>
      </c>
      <c r="C803" s="1" t="n">
        <v>45667</v>
      </c>
      <c r="D803" t="inlineStr">
        <is>
          <t>KALMAR LÄN</t>
        </is>
      </c>
      <c r="E803" t="inlineStr">
        <is>
          <t>HULTSFRED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13974-2023</t>
        </is>
      </c>
      <c r="B804" s="1" t="n">
        <v>45008</v>
      </c>
      <c r="C804" s="1" t="n">
        <v>45667</v>
      </c>
      <c r="D804" t="inlineStr">
        <is>
          <t>KALMAR LÄN</t>
        </is>
      </c>
      <c r="E804" t="inlineStr">
        <is>
          <t>HULTSFRED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14569-2023</t>
        </is>
      </c>
      <c r="B805" s="1" t="n">
        <v>45013</v>
      </c>
      <c r="C805" s="1" t="n">
        <v>45667</v>
      </c>
      <c r="D805" t="inlineStr">
        <is>
          <t>KALMAR LÄN</t>
        </is>
      </c>
      <c r="E805" t="inlineStr">
        <is>
          <t>HULTSFRED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14539-2023</t>
        </is>
      </c>
      <c r="B806" s="1" t="n">
        <v>45013</v>
      </c>
      <c r="C806" s="1" t="n">
        <v>45667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14561-2023</t>
        </is>
      </c>
      <c r="B807" s="1" t="n">
        <v>45013</v>
      </c>
      <c r="C807" s="1" t="n">
        <v>45667</v>
      </c>
      <c r="D807" t="inlineStr">
        <is>
          <t>KALMAR LÄN</t>
        </is>
      </c>
      <c r="E807" t="inlineStr">
        <is>
          <t>HULTSFRED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15130-2023</t>
        </is>
      </c>
      <c r="B808" s="1" t="n">
        <v>45016</v>
      </c>
      <c r="C808" s="1" t="n">
        <v>45667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45667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15451-2023</t>
        </is>
      </c>
      <c r="B810" s="1" t="n">
        <v>45016</v>
      </c>
      <c r="C810" s="1" t="n">
        <v>45667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15445-2023</t>
        </is>
      </c>
      <c r="B811" s="1" t="n">
        <v>45016</v>
      </c>
      <c r="C811" s="1" t="n">
        <v>45667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15236-2023</t>
        </is>
      </c>
      <c r="B812" s="1" t="n">
        <v>45019</v>
      </c>
      <c r="C812" s="1" t="n">
        <v>45667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15239-2023</t>
        </is>
      </c>
      <c r="B813" s="1" t="n">
        <v>45019</v>
      </c>
      <c r="C813" s="1" t="n">
        <v>45667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15244-2023</t>
        </is>
      </c>
      <c r="B814" s="1" t="n">
        <v>45019</v>
      </c>
      <c r="C814" s="1" t="n">
        <v>45667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15969-2023</t>
        </is>
      </c>
      <c r="B815" s="1" t="n">
        <v>45022</v>
      </c>
      <c r="C815" s="1" t="n">
        <v>45667</v>
      </c>
      <c r="D815" t="inlineStr">
        <is>
          <t>KALMAR LÄN</t>
        </is>
      </c>
      <c r="E815" t="inlineStr">
        <is>
          <t>HULTSFRED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16495-2023</t>
        </is>
      </c>
      <c r="B816" s="1" t="n">
        <v>45026</v>
      </c>
      <c r="C816" s="1" t="n">
        <v>45667</v>
      </c>
      <c r="D816" t="inlineStr">
        <is>
          <t>KALMAR LÄN</t>
        </is>
      </c>
      <c r="E816" t="inlineStr">
        <is>
          <t>HULTSFRED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16085-2023</t>
        </is>
      </c>
      <c r="B817" s="1" t="n">
        <v>45027</v>
      </c>
      <c r="C817" s="1" t="n">
        <v>45667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16270-2023</t>
        </is>
      </c>
      <c r="B818" s="1" t="n">
        <v>45028</v>
      </c>
      <c r="C818" s="1" t="n">
        <v>45667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16528-2023</t>
        </is>
      </c>
      <c r="B819" s="1" t="n">
        <v>45029</v>
      </c>
      <c r="C819" s="1" t="n">
        <v>45667</v>
      </c>
      <c r="D819" t="inlineStr">
        <is>
          <t>KALMAR LÄN</t>
        </is>
      </c>
      <c r="E819" t="inlineStr">
        <is>
          <t>HULTSFRED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17159-2023</t>
        </is>
      </c>
      <c r="B820" s="1" t="n">
        <v>45030</v>
      </c>
      <c r="C820" s="1" t="n">
        <v>45667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17115-2023</t>
        </is>
      </c>
      <c r="B821" s="1" t="n">
        <v>45030</v>
      </c>
      <c r="C821" s="1" t="n">
        <v>45667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16822-2023</t>
        </is>
      </c>
      <c r="B822" s="1" t="n">
        <v>45033</v>
      </c>
      <c r="C822" s="1" t="n">
        <v>45667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17012-2023</t>
        </is>
      </c>
      <c r="B823" s="1" t="n">
        <v>45034</v>
      </c>
      <c r="C823" s="1" t="n">
        <v>45667</v>
      </c>
      <c r="D823" t="inlineStr">
        <is>
          <t>KALMAR LÄN</t>
        </is>
      </c>
      <c r="E823" t="inlineStr">
        <is>
          <t>HULTSFRED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17880-2023</t>
        </is>
      </c>
      <c r="B824" s="1" t="n">
        <v>45039</v>
      </c>
      <c r="C824" s="1" t="n">
        <v>45667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18321-2023</t>
        </is>
      </c>
      <c r="B825" s="1" t="n">
        <v>45041</v>
      </c>
      <c r="C825" s="1" t="n">
        <v>45667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18323-2023</t>
        </is>
      </c>
      <c r="B826" s="1" t="n">
        <v>45041</v>
      </c>
      <c r="C826" s="1" t="n">
        <v>45667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18324-2023</t>
        </is>
      </c>
      <c r="B827" s="1" t="n">
        <v>45041</v>
      </c>
      <c r="C827" s="1" t="n">
        <v>45667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18883-2023</t>
        </is>
      </c>
      <c r="B828" s="1" t="n">
        <v>45044</v>
      </c>
      <c r="C828" s="1" t="n">
        <v>45667</v>
      </c>
      <c r="D828" t="inlineStr">
        <is>
          <t>KALMAR LÄN</t>
        </is>
      </c>
      <c r="E828" t="inlineStr">
        <is>
          <t>HULTSFRED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19047-2023</t>
        </is>
      </c>
      <c r="B829" s="1" t="n">
        <v>45047</v>
      </c>
      <c r="C829" s="1" t="n">
        <v>45667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19050-2023</t>
        </is>
      </c>
      <c r="B830" s="1" t="n">
        <v>45047</v>
      </c>
      <c r="C830" s="1" t="n">
        <v>45667</v>
      </c>
      <c r="D830" t="inlineStr">
        <is>
          <t>KALMAR LÄN</t>
        </is>
      </c>
      <c r="E830" t="inlineStr">
        <is>
          <t>HULTSFRED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19072-2023</t>
        </is>
      </c>
      <c r="B831" s="1" t="n">
        <v>45048</v>
      </c>
      <c r="C831" s="1" t="n">
        <v>45667</v>
      </c>
      <c r="D831" t="inlineStr">
        <is>
          <t>KALMAR LÄN</t>
        </is>
      </c>
      <c r="E831" t="inlineStr">
        <is>
          <t>HULTSFRED</t>
        </is>
      </c>
      <c r="G831" t="n">
        <v>23.7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19185-2023</t>
        </is>
      </c>
      <c r="B832" s="1" t="n">
        <v>45048</v>
      </c>
      <c r="C832" s="1" t="n">
        <v>45667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19403-2023</t>
        </is>
      </c>
      <c r="B833" s="1" t="n">
        <v>45049</v>
      </c>
      <c r="C833" s="1" t="n">
        <v>45667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19479-2023</t>
        </is>
      </c>
      <c r="B834" s="1" t="n">
        <v>45050</v>
      </c>
      <c r="C834" s="1" t="n">
        <v>45667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19932-2023</t>
        </is>
      </c>
      <c r="B835" s="1" t="n">
        <v>45054</v>
      </c>
      <c r="C835" s="1" t="n">
        <v>45667</v>
      </c>
      <c r="D835" t="inlineStr">
        <is>
          <t>KALMAR LÄN</t>
        </is>
      </c>
      <c r="E835" t="inlineStr">
        <is>
          <t>HULTSFRED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20035-2023</t>
        </is>
      </c>
      <c r="B836" s="1" t="n">
        <v>45054</v>
      </c>
      <c r="C836" s="1" t="n">
        <v>45667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20044-2023</t>
        </is>
      </c>
      <c r="B837" s="1" t="n">
        <v>45054</v>
      </c>
      <c r="C837" s="1" t="n">
        <v>45667</v>
      </c>
      <c r="D837" t="inlineStr">
        <is>
          <t>KALMAR LÄN</t>
        </is>
      </c>
      <c r="E837" t="inlineStr">
        <is>
          <t>HULTSFRED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20047-2023</t>
        </is>
      </c>
      <c r="B838" s="1" t="n">
        <v>45054</v>
      </c>
      <c r="C838" s="1" t="n">
        <v>45667</v>
      </c>
      <c r="D838" t="inlineStr">
        <is>
          <t>KALMAR LÄN</t>
        </is>
      </c>
      <c r="E838" t="inlineStr">
        <is>
          <t>HULTSFRED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20051-2023</t>
        </is>
      </c>
      <c r="B839" s="1" t="n">
        <v>45054</v>
      </c>
      <c r="C839" s="1" t="n">
        <v>45667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20036-2023</t>
        </is>
      </c>
      <c r="B840" s="1" t="n">
        <v>45054</v>
      </c>
      <c r="C840" s="1" t="n">
        <v>45667</v>
      </c>
      <c r="D840" t="inlineStr">
        <is>
          <t>KALMAR LÄN</t>
        </is>
      </c>
      <c r="E840" t="inlineStr">
        <is>
          <t>HULTSFRED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21008-2023</t>
        </is>
      </c>
      <c r="B841" s="1" t="n">
        <v>45061</v>
      </c>
      <c r="C841" s="1" t="n">
        <v>45667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21007-2023</t>
        </is>
      </c>
      <c r="B842" s="1" t="n">
        <v>45061</v>
      </c>
      <c r="C842" s="1" t="n">
        <v>45667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21505-2023</t>
        </is>
      </c>
      <c r="B843" s="1" t="n">
        <v>45063</v>
      </c>
      <c r="C843" s="1" t="n">
        <v>45667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21498-2023</t>
        </is>
      </c>
      <c r="B844" s="1" t="n">
        <v>45063</v>
      </c>
      <c r="C844" s="1" t="n">
        <v>45667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21619-2023</t>
        </is>
      </c>
      <c r="B845" s="1" t="n">
        <v>45063</v>
      </c>
      <c r="C845" s="1" t="n">
        <v>45667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21698-2023</t>
        </is>
      </c>
      <c r="B846" s="1" t="n">
        <v>45064</v>
      </c>
      <c r="C846" s="1" t="n">
        <v>45667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22403-2023</t>
        </is>
      </c>
      <c r="B847" s="1" t="n">
        <v>45070</v>
      </c>
      <c r="C847" s="1" t="n">
        <v>45667</v>
      </c>
      <c r="D847" t="inlineStr">
        <is>
          <t>KALMAR LÄN</t>
        </is>
      </c>
      <c r="E847" t="inlineStr">
        <is>
          <t>HULTSFRED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22401-2023</t>
        </is>
      </c>
      <c r="B848" s="1" t="n">
        <v>45070</v>
      </c>
      <c r="C848" s="1" t="n">
        <v>45667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22645-2023</t>
        </is>
      </c>
      <c r="B849" s="1" t="n">
        <v>45071</v>
      </c>
      <c r="C849" s="1" t="n">
        <v>45667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22646-2023</t>
        </is>
      </c>
      <c r="B850" s="1" t="n">
        <v>45071</v>
      </c>
      <c r="C850" s="1" t="n">
        <v>45667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23408-2023</t>
        </is>
      </c>
      <c r="B851" s="1" t="n">
        <v>45076</v>
      </c>
      <c r="C851" s="1" t="n">
        <v>45667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23584-2023</t>
        </is>
      </c>
      <c r="B852" s="1" t="n">
        <v>45077</v>
      </c>
      <c r="C852" s="1" t="n">
        <v>45667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23581-2023</t>
        </is>
      </c>
      <c r="B853" s="1" t="n">
        <v>45077</v>
      </c>
      <c r="C853" s="1" t="n">
        <v>45667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23670-2023</t>
        </is>
      </c>
      <c r="B854" s="1" t="n">
        <v>45077</v>
      </c>
      <c r="C854" s="1" t="n">
        <v>45667</v>
      </c>
      <c r="D854" t="inlineStr">
        <is>
          <t>KALMAR LÄN</t>
        </is>
      </c>
      <c r="E854" t="inlineStr">
        <is>
          <t>HULTSFRED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23578-2023</t>
        </is>
      </c>
      <c r="B855" s="1" t="n">
        <v>45077</v>
      </c>
      <c r="C855" s="1" t="n">
        <v>45667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23579-2023</t>
        </is>
      </c>
      <c r="B856" s="1" t="n">
        <v>45077</v>
      </c>
      <c r="C856" s="1" t="n">
        <v>45667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23583-2023</t>
        </is>
      </c>
      <c r="B857" s="1" t="n">
        <v>45077</v>
      </c>
      <c r="C857" s="1" t="n">
        <v>45667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24148-2023</t>
        </is>
      </c>
      <c r="B858" s="1" t="n">
        <v>45079</v>
      </c>
      <c r="C858" s="1" t="n">
        <v>45667</v>
      </c>
      <c r="D858" t="inlineStr">
        <is>
          <t>KALMAR LÄN</t>
        </is>
      </c>
      <c r="E858" t="inlineStr">
        <is>
          <t>HULTSFRED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24147-2023</t>
        </is>
      </c>
      <c r="B859" s="1" t="n">
        <v>45079</v>
      </c>
      <c r="C859" s="1" t="n">
        <v>45667</v>
      </c>
      <c r="D859" t="inlineStr">
        <is>
          <t>KALMAR LÄN</t>
        </is>
      </c>
      <c r="E859" t="inlineStr">
        <is>
          <t>HULTSFRED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24342-2023</t>
        </is>
      </c>
      <c r="B860" s="1" t="n">
        <v>45082</v>
      </c>
      <c r="C860" s="1" t="n">
        <v>45667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24343-2023</t>
        </is>
      </c>
      <c r="B861" s="1" t="n">
        <v>45082</v>
      </c>
      <c r="C861" s="1" t="n">
        <v>45667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24336-2023</t>
        </is>
      </c>
      <c r="B862" s="1" t="n">
        <v>45081</v>
      </c>
      <c r="C862" s="1" t="n">
        <v>45667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24340-2023</t>
        </is>
      </c>
      <c r="B863" s="1" t="n">
        <v>45081</v>
      </c>
      <c r="C863" s="1" t="n">
        <v>45667</v>
      </c>
      <c r="D863" t="inlineStr">
        <is>
          <t>KALMAR LÄN</t>
        </is>
      </c>
      <c r="E863" t="inlineStr">
        <is>
          <t>HULTSFRED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24344-2023</t>
        </is>
      </c>
      <c r="B864" s="1" t="n">
        <v>45082</v>
      </c>
      <c r="C864" s="1" t="n">
        <v>45667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24337-2023</t>
        </is>
      </c>
      <c r="B865" s="1" t="n">
        <v>45081</v>
      </c>
      <c r="C865" s="1" t="n">
        <v>45667</v>
      </c>
      <c r="D865" t="inlineStr">
        <is>
          <t>KALMAR LÄN</t>
        </is>
      </c>
      <c r="E865" t="inlineStr">
        <is>
          <t>HULTSFRED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24341-2023</t>
        </is>
      </c>
      <c r="B866" s="1" t="n">
        <v>45082</v>
      </c>
      <c r="C866" s="1" t="n">
        <v>45667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24345-2023</t>
        </is>
      </c>
      <c r="B867" s="1" t="n">
        <v>45082</v>
      </c>
      <c r="C867" s="1" t="n">
        <v>45667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25020-2023</t>
        </is>
      </c>
      <c r="B868" s="1" t="n">
        <v>45085</v>
      </c>
      <c r="C868" s="1" t="n">
        <v>45667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25246-2023</t>
        </is>
      </c>
      <c r="B869" s="1" t="n">
        <v>45086</v>
      </c>
      <c r="C869" s="1" t="n">
        <v>45667</v>
      </c>
      <c r="D869" t="inlineStr">
        <is>
          <t>KALMAR LÄN</t>
        </is>
      </c>
      <c r="E869" t="inlineStr">
        <is>
          <t>HULTSFRED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26308-2023</t>
        </is>
      </c>
      <c r="B870" s="1" t="n">
        <v>45091</v>
      </c>
      <c r="C870" s="1" t="n">
        <v>45667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26437-2023</t>
        </is>
      </c>
      <c r="B871" s="1" t="n">
        <v>45092</v>
      </c>
      <c r="C871" s="1" t="n">
        <v>45667</v>
      </c>
      <c r="D871" t="inlineStr">
        <is>
          <t>KALMAR LÄN</t>
        </is>
      </c>
      <c r="E871" t="inlineStr">
        <is>
          <t>HULTSFRED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26687-2023</t>
        </is>
      </c>
      <c r="B872" s="1" t="n">
        <v>45093</v>
      </c>
      <c r="C872" s="1" t="n">
        <v>45667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HYPERLINK("https://klasma.github.io/Logging_0860/knärot/A 26687-2023 karta knärot.png", "A 26687-2023")</f>
        <v/>
      </c>
      <c r="V872">
        <f>HYPERLINK("https://klasma.github.io/Logging_0860/klagomål/A 26687-2023 FSC-klagomål.docx", "A 26687-2023")</f>
        <v/>
      </c>
      <c r="W872">
        <f>HYPERLINK("https://klasma.github.io/Logging_0860/klagomålsmail/A 26687-2023 FSC-klagomål mail.docx", "A 26687-2023")</f>
        <v/>
      </c>
      <c r="X872">
        <f>HYPERLINK("https://klasma.github.io/Logging_0860/tillsyn/A 26687-2023 tillsynsbegäran.docx", "A 26687-2023")</f>
        <v/>
      </c>
      <c r="Y872">
        <f>HYPERLINK("https://klasma.github.io/Logging_0860/tillsynsmail/A 26687-2023 tillsynsbegäran mail.docx", "A 26687-2023")</f>
        <v/>
      </c>
    </row>
    <row r="873" ht="15" customHeight="1">
      <c r="A873" t="inlineStr">
        <is>
          <t>A 26922-2023</t>
        </is>
      </c>
      <c r="B873" s="1" t="n">
        <v>45093</v>
      </c>
      <c r="C873" s="1" t="n">
        <v>45667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27351-2023</t>
        </is>
      </c>
      <c r="B874" s="1" t="n">
        <v>45096</v>
      </c>
      <c r="C874" s="1" t="n">
        <v>45667</v>
      </c>
      <c r="D874" t="inlineStr">
        <is>
          <t>KALMAR LÄN</t>
        </is>
      </c>
      <c r="E874" t="inlineStr">
        <is>
          <t>HULTSFRED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28244-2023</t>
        </is>
      </c>
      <c r="B875" s="1" t="n">
        <v>45099</v>
      </c>
      <c r="C875" s="1" t="n">
        <v>45667</v>
      </c>
      <c r="D875" t="inlineStr">
        <is>
          <t>KALMAR LÄN</t>
        </is>
      </c>
      <c r="E875" t="inlineStr">
        <is>
          <t>HULTSFRED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30491-2023</t>
        </is>
      </c>
      <c r="B876" s="1" t="n">
        <v>45099</v>
      </c>
      <c r="C876" s="1" t="n">
        <v>45667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30574-2023</t>
        </is>
      </c>
      <c r="B877" s="1" t="n">
        <v>45099</v>
      </c>
      <c r="C877" s="1" t="n">
        <v>45667</v>
      </c>
      <c r="D877" t="inlineStr">
        <is>
          <t>KALMAR LÄN</t>
        </is>
      </c>
      <c r="E877" t="inlineStr">
        <is>
          <t>HULTSFRED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30475-2023</t>
        </is>
      </c>
      <c r="B878" s="1" t="n">
        <v>45099</v>
      </c>
      <c r="C878" s="1" t="n">
        <v>45667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30521-2023</t>
        </is>
      </c>
      <c r="B879" s="1" t="n">
        <v>45099</v>
      </c>
      <c r="C879" s="1" t="n">
        <v>45667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30514-2023</t>
        </is>
      </c>
      <c r="B880" s="1" t="n">
        <v>45099</v>
      </c>
      <c r="C880" s="1" t="n">
        <v>45667</v>
      </c>
      <c r="D880" t="inlineStr">
        <is>
          <t>KALMAR LÄN</t>
        </is>
      </c>
      <c r="E880" t="inlineStr">
        <is>
          <t>HULTSFRED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30575-2023</t>
        </is>
      </c>
      <c r="B881" s="1" t="n">
        <v>45099</v>
      </c>
      <c r="C881" s="1" t="n">
        <v>45667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30466-2023</t>
        </is>
      </c>
      <c r="B882" s="1" t="n">
        <v>45099</v>
      </c>
      <c r="C882" s="1" t="n">
        <v>45667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30274-2023</t>
        </is>
      </c>
      <c r="B883" s="1" t="n">
        <v>45099</v>
      </c>
      <c r="C883" s="1" t="n">
        <v>45667</v>
      </c>
      <c r="D883" t="inlineStr">
        <is>
          <t>KALMAR LÄN</t>
        </is>
      </c>
      <c r="E883" t="inlineStr">
        <is>
          <t>HULTSFRED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30390-2023</t>
        </is>
      </c>
      <c r="B884" s="1" t="n">
        <v>45099</v>
      </c>
      <c r="C884" s="1" t="n">
        <v>45667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30572-2023</t>
        </is>
      </c>
      <c r="B885" s="1" t="n">
        <v>45099</v>
      </c>
      <c r="C885" s="1" t="n">
        <v>45667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30386-2023</t>
        </is>
      </c>
      <c r="B886" s="1" t="n">
        <v>45099</v>
      </c>
      <c r="C886" s="1" t="n">
        <v>45667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28644-2023</t>
        </is>
      </c>
      <c r="B887" s="1" t="n">
        <v>45103</v>
      </c>
      <c r="C887" s="1" t="n">
        <v>45667</v>
      </c>
      <c r="D887" t="inlineStr">
        <is>
          <t>KALMAR LÄN</t>
        </is>
      </c>
      <c r="E887" t="inlineStr">
        <is>
          <t>HULTSFRED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28668-2023</t>
        </is>
      </c>
      <c r="B888" s="1" t="n">
        <v>45103</v>
      </c>
      <c r="C888" s="1" t="n">
        <v>45667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28666-2023</t>
        </is>
      </c>
      <c r="B889" s="1" t="n">
        <v>45103</v>
      </c>
      <c r="C889" s="1" t="n">
        <v>45667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28863-2023</t>
        </is>
      </c>
      <c r="B890" s="1" t="n">
        <v>45104</v>
      </c>
      <c r="C890" s="1" t="n">
        <v>45667</v>
      </c>
      <c r="D890" t="inlineStr">
        <is>
          <t>KALMAR LÄN</t>
        </is>
      </c>
      <c r="E890" t="inlineStr">
        <is>
          <t>HULTSFRED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28910-2023</t>
        </is>
      </c>
      <c r="B891" s="1" t="n">
        <v>45104</v>
      </c>
      <c r="C891" s="1" t="n">
        <v>45667</v>
      </c>
      <c r="D891" t="inlineStr">
        <is>
          <t>KALMAR LÄN</t>
        </is>
      </c>
      <c r="E891" t="inlineStr">
        <is>
          <t>HULTSFRED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28866-2023</t>
        </is>
      </c>
      <c r="B892" s="1" t="n">
        <v>45104</v>
      </c>
      <c r="C892" s="1" t="n">
        <v>45667</v>
      </c>
      <c r="D892" t="inlineStr">
        <is>
          <t>KALMAR LÄN</t>
        </is>
      </c>
      <c r="E892" t="inlineStr">
        <is>
          <t>HULTSFRED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29046-2023</t>
        </is>
      </c>
      <c r="B893" s="1" t="n">
        <v>45104</v>
      </c>
      <c r="C893" s="1" t="n">
        <v>45667</v>
      </c>
      <c r="D893" t="inlineStr">
        <is>
          <t>KALMAR LÄN</t>
        </is>
      </c>
      <c r="E893" t="inlineStr">
        <is>
          <t>HULTSFRED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29267-2023</t>
        </is>
      </c>
      <c r="B894" s="1" t="n">
        <v>45105</v>
      </c>
      <c r="C894" s="1" t="n">
        <v>45667</v>
      </c>
      <c r="D894" t="inlineStr">
        <is>
          <t>KALMAR LÄN</t>
        </is>
      </c>
      <c r="E894" t="inlineStr">
        <is>
          <t>HULTSFRED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29363-2023</t>
        </is>
      </c>
      <c r="B895" s="1" t="n">
        <v>45106</v>
      </c>
      <c r="C895" s="1" t="n">
        <v>45667</v>
      </c>
      <c r="D895" t="inlineStr">
        <is>
          <t>KALMAR LÄN</t>
        </is>
      </c>
      <c r="E895" t="inlineStr">
        <is>
          <t>HULTSFRED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30876-2023</t>
        </is>
      </c>
      <c r="B896" s="1" t="n">
        <v>45113</v>
      </c>
      <c r="C896" s="1" t="n">
        <v>45667</v>
      </c>
      <c r="D896" t="inlineStr">
        <is>
          <t>KALMAR LÄN</t>
        </is>
      </c>
      <c r="E896" t="inlineStr">
        <is>
          <t>HULTSFRED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32933-2023</t>
        </is>
      </c>
      <c r="B897" s="1" t="n">
        <v>45113</v>
      </c>
      <c r="C897" s="1" t="n">
        <v>45667</v>
      </c>
      <c r="D897" t="inlineStr">
        <is>
          <t>KALMAR LÄN</t>
        </is>
      </c>
      <c r="E897" t="inlineStr">
        <is>
          <t>HULTSFRED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32932-2023</t>
        </is>
      </c>
      <c r="B898" s="1" t="n">
        <v>45113</v>
      </c>
      <c r="C898" s="1" t="n">
        <v>45667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32646-2023</t>
        </is>
      </c>
      <c r="B899" s="1" t="n">
        <v>45121</v>
      </c>
      <c r="C899" s="1" t="n">
        <v>45667</v>
      </c>
      <c r="D899" t="inlineStr">
        <is>
          <t>KALMAR LÄN</t>
        </is>
      </c>
      <c r="E899" t="inlineStr">
        <is>
          <t>HULTSFRED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33091-2023</t>
        </is>
      </c>
      <c r="B900" s="1" t="n">
        <v>45126</v>
      </c>
      <c r="C900" s="1" t="n">
        <v>45667</v>
      </c>
      <c r="D900" t="inlineStr">
        <is>
          <t>KALMAR LÄN</t>
        </is>
      </c>
      <c r="E900" t="inlineStr">
        <is>
          <t>HULTSFRED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33142-2023</t>
        </is>
      </c>
      <c r="B901" s="1" t="n">
        <v>45126</v>
      </c>
      <c r="C901" s="1" t="n">
        <v>45667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33235-2023</t>
        </is>
      </c>
      <c r="B902" s="1" t="n">
        <v>45127</v>
      </c>
      <c r="C902" s="1" t="n">
        <v>45667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33326-2023</t>
        </is>
      </c>
      <c r="B903" s="1" t="n">
        <v>45127</v>
      </c>
      <c r="C903" s="1" t="n">
        <v>45667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33443-2023</t>
        </is>
      </c>
      <c r="B904" s="1" t="n">
        <v>45129</v>
      </c>
      <c r="C904" s="1" t="n">
        <v>45667</v>
      </c>
      <c r="D904" t="inlineStr">
        <is>
          <t>KALMAR LÄN</t>
        </is>
      </c>
      <c r="E904" t="inlineStr">
        <is>
          <t>HULTSFRED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33440-2023</t>
        </is>
      </c>
      <c r="B905" s="1" t="n">
        <v>45129</v>
      </c>
      <c r="C905" s="1" t="n">
        <v>45667</v>
      </c>
      <c r="D905" t="inlineStr">
        <is>
          <t>KALMAR LÄN</t>
        </is>
      </c>
      <c r="E905" t="inlineStr">
        <is>
          <t>HULTSFRED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33441-2023</t>
        </is>
      </c>
      <c r="B906" s="1" t="n">
        <v>45129</v>
      </c>
      <c r="C906" s="1" t="n">
        <v>45667</v>
      </c>
      <c r="D906" t="inlineStr">
        <is>
          <t>KALMAR LÄN</t>
        </is>
      </c>
      <c r="E906" t="inlineStr">
        <is>
          <t>HULTSFRED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33442-2023</t>
        </is>
      </c>
      <c r="B907" s="1" t="n">
        <v>45129</v>
      </c>
      <c r="C907" s="1" t="n">
        <v>45667</v>
      </c>
      <c r="D907" t="inlineStr">
        <is>
          <t>KALMAR LÄN</t>
        </is>
      </c>
      <c r="E907" t="inlineStr">
        <is>
          <t>HULTSFRED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33601-2023</t>
        </is>
      </c>
      <c r="B908" s="1" t="n">
        <v>45132</v>
      </c>
      <c r="C908" s="1" t="n">
        <v>45667</v>
      </c>
      <c r="D908" t="inlineStr">
        <is>
          <t>KALMAR LÄN</t>
        </is>
      </c>
      <c r="E908" t="inlineStr">
        <is>
          <t>HULTSFRED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33604-2023</t>
        </is>
      </c>
      <c r="B909" s="1" t="n">
        <v>45132</v>
      </c>
      <c r="C909" s="1" t="n">
        <v>45667</v>
      </c>
      <c r="D909" t="inlineStr">
        <is>
          <t>KALMAR LÄN</t>
        </is>
      </c>
      <c r="E909" t="inlineStr">
        <is>
          <t>HULTSFRED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33884-2023</t>
        </is>
      </c>
      <c r="B910" s="1" t="n">
        <v>45134</v>
      </c>
      <c r="C910" s="1" t="n">
        <v>45667</v>
      </c>
      <c r="D910" t="inlineStr">
        <is>
          <t>KALMAR LÄN</t>
        </is>
      </c>
      <c r="E910" t="inlineStr">
        <is>
          <t>HULTSFRED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33886-2023</t>
        </is>
      </c>
      <c r="B911" s="1" t="n">
        <v>45134</v>
      </c>
      <c r="C911" s="1" t="n">
        <v>45667</v>
      </c>
      <c r="D911" t="inlineStr">
        <is>
          <t>KALMAR LÄN</t>
        </is>
      </c>
      <c r="E911" t="inlineStr">
        <is>
          <t>HULTSFRED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34038-2023</t>
        </is>
      </c>
      <c r="B912" s="1" t="n">
        <v>45135</v>
      </c>
      <c r="C912" s="1" t="n">
        <v>45667</v>
      </c>
      <c r="D912" t="inlineStr">
        <is>
          <t>KALMAR LÄN</t>
        </is>
      </c>
      <c r="E912" t="inlineStr">
        <is>
          <t>HULTSFRED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34765-2023</t>
        </is>
      </c>
      <c r="B913" s="1" t="n">
        <v>45141</v>
      </c>
      <c r="C913" s="1" t="n">
        <v>45667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35062-2023</t>
        </is>
      </c>
      <c r="B914" s="1" t="n">
        <v>45145</v>
      </c>
      <c r="C914" s="1" t="n">
        <v>45667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35374-2023</t>
        </is>
      </c>
      <c r="B915" s="1" t="n">
        <v>45146</v>
      </c>
      <c r="C915" s="1" t="n">
        <v>45667</v>
      </c>
      <c r="D915" t="inlineStr">
        <is>
          <t>KALMAR LÄN</t>
        </is>
      </c>
      <c r="E915" t="inlineStr">
        <is>
          <t>HULTSFRED</t>
        </is>
      </c>
      <c r="G915" t="n">
        <v>17.5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35305-2023</t>
        </is>
      </c>
      <c r="B916" s="1" t="n">
        <v>45146</v>
      </c>
      <c r="C916" s="1" t="n">
        <v>45667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35518-2023</t>
        </is>
      </c>
      <c r="B917" s="1" t="n">
        <v>45147</v>
      </c>
      <c r="C917" s="1" t="n">
        <v>45667</v>
      </c>
      <c r="D917" t="inlineStr">
        <is>
          <t>KALMAR LÄN</t>
        </is>
      </c>
      <c r="E917" t="inlineStr">
        <is>
          <t>HULTSFRED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35516-2023</t>
        </is>
      </c>
      <c r="B918" s="1" t="n">
        <v>45147</v>
      </c>
      <c r="C918" s="1" t="n">
        <v>45667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35721-2023</t>
        </is>
      </c>
      <c r="B919" s="1" t="n">
        <v>45147</v>
      </c>
      <c r="C919" s="1" t="n">
        <v>45667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35852-2023</t>
        </is>
      </c>
      <c r="B920" s="1" t="n">
        <v>45148</v>
      </c>
      <c r="C920" s="1" t="n">
        <v>45667</v>
      </c>
      <c r="D920" t="inlineStr">
        <is>
          <t>KALMAR LÄN</t>
        </is>
      </c>
      <c r="E920" t="inlineStr">
        <is>
          <t>HULTSFRED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35885-2023</t>
        </is>
      </c>
      <c r="B921" s="1" t="n">
        <v>45148</v>
      </c>
      <c r="C921" s="1" t="n">
        <v>45667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36092-2023</t>
        </is>
      </c>
      <c r="B922" s="1" t="n">
        <v>45149</v>
      </c>
      <c r="C922" s="1" t="n">
        <v>45667</v>
      </c>
      <c r="D922" t="inlineStr">
        <is>
          <t>KALMAR LÄN</t>
        </is>
      </c>
      <c r="E922" t="inlineStr">
        <is>
          <t>HULTSFRED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36097-2023</t>
        </is>
      </c>
      <c r="B923" s="1" t="n">
        <v>45149</v>
      </c>
      <c r="C923" s="1" t="n">
        <v>45667</v>
      </c>
      <c r="D923" t="inlineStr">
        <is>
          <t>KALMAR LÄN</t>
        </is>
      </c>
      <c r="E923" t="inlineStr">
        <is>
          <t>HULTSFRED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36187-2023</t>
        </is>
      </c>
      <c r="B924" s="1" t="n">
        <v>45149</v>
      </c>
      <c r="C924" s="1" t="n">
        <v>45667</v>
      </c>
      <c r="D924" t="inlineStr">
        <is>
          <t>KALMAR LÄN</t>
        </is>
      </c>
      <c r="E924" t="inlineStr">
        <is>
          <t>HULTSFRED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36264-2023</t>
        </is>
      </c>
      <c r="B925" s="1" t="n">
        <v>45152</v>
      </c>
      <c r="C925" s="1" t="n">
        <v>45667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36278-2023</t>
        </is>
      </c>
      <c r="B926" s="1" t="n">
        <v>45152</v>
      </c>
      <c r="C926" s="1" t="n">
        <v>45667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36271-2023</t>
        </is>
      </c>
      <c r="B927" s="1" t="n">
        <v>45152</v>
      </c>
      <c r="C927" s="1" t="n">
        <v>45667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36395-2023</t>
        </is>
      </c>
      <c r="B928" s="1" t="n">
        <v>45152</v>
      </c>
      <c r="C928" s="1" t="n">
        <v>45667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36374-2023</t>
        </is>
      </c>
      <c r="B929" s="1" t="n">
        <v>45152</v>
      </c>
      <c r="C929" s="1" t="n">
        <v>45667</v>
      </c>
      <c r="D929" t="inlineStr">
        <is>
          <t>KALMAR LÄN</t>
        </is>
      </c>
      <c r="E929" t="inlineStr">
        <is>
          <t>HULTSFRED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36397-2023</t>
        </is>
      </c>
      <c r="B930" s="1" t="n">
        <v>45152</v>
      </c>
      <c r="C930" s="1" t="n">
        <v>45667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36692-2023</t>
        </is>
      </c>
      <c r="B931" s="1" t="n">
        <v>45153</v>
      </c>
      <c r="C931" s="1" t="n">
        <v>45667</v>
      </c>
      <c r="D931" t="inlineStr">
        <is>
          <t>KALMAR LÄN</t>
        </is>
      </c>
      <c r="E931" t="inlineStr">
        <is>
          <t>HULTSFRED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36663-2023</t>
        </is>
      </c>
      <c r="B932" s="1" t="n">
        <v>45153</v>
      </c>
      <c r="C932" s="1" t="n">
        <v>45667</v>
      </c>
      <c r="D932" t="inlineStr">
        <is>
          <t>KALMAR LÄN</t>
        </is>
      </c>
      <c r="E932" t="inlineStr">
        <is>
          <t>HULTSFRED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36688-2023</t>
        </is>
      </c>
      <c r="B933" s="1" t="n">
        <v>45153</v>
      </c>
      <c r="C933" s="1" t="n">
        <v>45667</v>
      </c>
      <c r="D933" t="inlineStr">
        <is>
          <t>KALMAR LÄN</t>
        </is>
      </c>
      <c r="E933" t="inlineStr">
        <is>
          <t>HULTSFRED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36698-2023</t>
        </is>
      </c>
      <c r="B934" s="1" t="n">
        <v>45153</v>
      </c>
      <c r="C934" s="1" t="n">
        <v>45667</v>
      </c>
      <c r="D934" t="inlineStr">
        <is>
          <t>KALMAR LÄN</t>
        </is>
      </c>
      <c r="E934" t="inlineStr">
        <is>
          <t>HULTSFRED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37089-2023</t>
        </is>
      </c>
      <c r="B935" s="1" t="n">
        <v>45155</v>
      </c>
      <c r="C935" s="1" t="n">
        <v>45667</v>
      </c>
      <c r="D935" t="inlineStr">
        <is>
          <t>KALMAR LÄN</t>
        </is>
      </c>
      <c r="E935" t="inlineStr">
        <is>
          <t>HULTSFRED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37153-2023</t>
        </is>
      </c>
      <c r="B936" s="1" t="n">
        <v>45155</v>
      </c>
      <c r="C936" s="1" t="n">
        <v>45667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37281-2023</t>
        </is>
      </c>
      <c r="B937" s="1" t="n">
        <v>45156</v>
      </c>
      <c r="C937" s="1" t="n">
        <v>45667</v>
      </c>
      <c r="D937" t="inlineStr">
        <is>
          <t>KALMAR LÄN</t>
        </is>
      </c>
      <c r="E937" t="inlineStr">
        <is>
          <t>HULTSFRED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37464-2023</t>
        </is>
      </c>
      <c r="B938" s="1" t="n">
        <v>45156</v>
      </c>
      <c r="C938" s="1" t="n">
        <v>45667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37280-2023</t>
        </is>
      </c>
      <c r="B939" s="1" t="n">
        <v>45156</v>
      </c>
      <c r="C939" s="1" t="n">
        <v>45667</v>
      </c>
      <c r="D939" t="inlineStr">
        <is>
          <t>KALMAR LÄN</t>
        </is>
      </c>
      <c r="E939" t="inlineStr">
        <is>
          <t>HULTSFRED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37573-2023</t>
        </is>
      </c>
      <c r="B940" s="1" t="n">
        <v>45159</v>
      </c>
      <c r="C940" s="1" t="n">
        <v>45667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37994-2023</t>
        </is>
      </c>
      <c r="B941" s="1" t="n">
        <v>45160</v>
      </c>
      <c r="C941" s="1" t="n">
        <v>45667</v>
      </c>
      <c r="D941" t="inlineStr">
        <is>
          <t>KALMAR LÄN</t>
        </is>
      </c>
      <c r="E941" t="inlineStr">
        <is>
          <t>HULTSFRED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37998-2023</t>
        </is>
      </c>
      <c r="B942" s="1" t="n">
        <v>45160</v>
      </c>
      <c r="C942" s="1" t="n">
        <v>45667</v>
      </c>
      <c r="D942" t="inlineStr">
        <is>
          <t>KALMAR LÄN</t>
        </is>
      </c>
      <c r="E942" t="inlineStr">
        <is>
          <t>HULTSFRED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38079-2023</t>
        </is>
      </c>
      <c r="B943" s="1" t="n">
        <v>45160</v>
      </c>
      <c r="C943" s="1" t="n">
        <v>45667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37996-2023</t>
        </is>
      </c>
      <c r="B944" s="1" t="n">
        <v>45160</v>
      </c>
      <c r="C944" s="1" t="n">
        <v>45667</v>
      </c>
      <c r="D944" t="inlineStr">
        <is>
          <t>KALMAR LÄN</t>
        </is>
      </c>
      <c r="E944" t="inlineStr">
        <is>
          <t>HULTSFRED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38000-2023</t>
        </is>
      </c>
      <c r="B945" s="1" t="n">
        <v>45160</v>
      </c>
      <c r="C945" s="1" t="n">
        <v>45667</v>
      </c>
      <c r="D945" t="inlineStr">
        <is>
          <t>KALMAR LÄN</t>
        </is>
      </c>
      <c r="E945" t="inlineStr">
        <is>
          <t>HULTSFRED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38147-2023</t>
        </is>
      </c>
      <c r="B946" s="1" t="n">
        <v>45160</v>
      </c>
      <c r="C946" s="1" t="n">
        <v>45667</v>
      </c>
      <c r="D946" t="inlineStr">
        <is>
          <t>KALMAR LÄN</t>
        </is>
      </c>
      <c r="E946" t="inlineStr">
        <is>
          <t>HULTSFRED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38207-2023</t>
        </is>
      </c>
      <c r="B947" s="1" t="n">
        <v>45161</v>
      </c>
      <c r="C947" s="1" t="n">
        <v>45667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38193-2023</t>
        </is>
      </c>
      <c r="B948" s="1" t="n">
        <v>45161</v>
      </c>
      <c r="C948" s="1" t="n">
        <v>45667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39692-2023</t>
        </is>
      </c>
      <c r="B949" s="1" t="n">
        <v>45167</v>
      </c>
      <c r="C949" s="1" t="n">
        <v>45667</v>
      </c>
      <c r="D949" t="inlineStr">
        <is>
          <t>KALMAR LÄN</t>
        </is>
      </c>
      <c r="E949" t="inlineStr">
        <is>
          <t>HULTSFRED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39940-2023</t>
        </is>
      </c>
      <c r="B950" s="1" t="n">
        <v>45168</v>
      </c>
      <c r="C950" s="1" t="n">
        <v>45667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39941-2023</t>
        </is>
      </c>
      <c r="B951" s="1" t="n">
        <v>45168</v>
      </c>
      <c r="C951" s="1" t="n">
        <v>45667</v>
      </c>
      <c r="D951" t="inlineStr">
        <is>
          <t>KALMAR LÄN</t>
        </is>
      </c>
      <c r="E951" t="inlineStr">
        <is>
          <t>HULTSFRED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40002-2023</t>
        </is>
      </c>
      <c r="B952" s="1" t="n">
        <v>45168</v>
      </c>
      <c r="C952" s="1" t="n">
        <v>45667</v>
      </c>
      <c r="D952" t="inlineStr">
        <is>
          <t>KALMAR LÄN</t>
        </is>
      </c>
      <c r="E952" t="inlineStr">
        <is>
          <t>HULTSFRED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40006-2023</t>
        </is>
      </c>
      <c r="B953" s="1" t="n">
        <v>45168</v>
      </c>
      <c r="C953" s="1" t="n">
        <v>45667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39934-2023</t>
        </is>
      </c>
      <c r="B954" s="1" t="n">
        <v>45168</v>
      </c>
      <c r="C954" s="1" t="n">
        <v>45667</v>
      </c>
      <c r="D954" t="inlineStr">
        <is>
          <t>KALMAR LÄN</t>
        </is>
      </c>
      <c r="E954" t="inlineStr">
        <is>
          <t>HULTSFRED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39944-2023</t>
        </is>
      </c>
      <c r="B955" s="1" t="n">
        <v>45168</v>
      </c>
      <c r="C955" s="1" t="n">
        <v>45667</v>
      </c>
      <c r="D955" t="inlineStr">
        <is>
          <t>KALMAR LÄN</t>
        </is>
      </c>
      <c r="E955" t="inlineStr">
        <is>
          <t>HULTSFRED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39948-2023</t>
        </is>
      </c>
      <c r="B956" s="1" t="n">
        <v>45168</v>
      </c>
      <c r="C956" s="1" t="n">
        <v>45667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39977-2023</t>
        </is>
      </c>
      <c r="B957" s="1" t="n">
        <v>45168</v>
      </c>
      <c r="C957" s="1" t="n">
        <v>45667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40004-2023</t>
        </is>
      </c>
      <c r="B958" s="1" t="n">
        <v>45168</v>
      </c>
      <c r="C958" s="1" t="n">
        <v>45667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40009-2023</t>
        </is>
      </c>
      <c r="B959" s="1" t="n">
        <v>45168</v>
      </c>
      <c r="C959" s="1" t="n">
        <v>45667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40326-2023</t>
        </is>
      </c>
      <c r="B960" s="1" t="n">
        <v>45169</v>
      </c>
      <c r="C960" s="1" t="n">
        <v>45667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40330-2023</t>
        </is>
      </c>
      <c r="B961" s="1" t="n">
        <v>45169</v>
      </c>
      <c r="C961" s="1" t="n">
        <v>45667</v>
      </c>
      <c r="D961" t="inlineStr">
        <is>
          <t>KALMAR LÄN</t>
        </is>
      </c>
      <c r="E961" t="inlineStr">
        <is>
          <t>HULTSFRED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40334-2023</t>
        </is>
      </c>
      <c r="B962" s="1" t="n">
        <v>45169</v>
      </c>
      <c r="C962" s="1" t="n">
        <v>45667</v>
      </c>
      <c r="D962" t="inlineStr">
        <is>
          <t>KALMAR LÄN</t>
        </is>
      </c>
      <c r="E962" t="inlineStr">
        <is>
          <t>HULTSFRED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40258-2023</t>
        </is>
      </c>
      <c r="B963" s="1" t="n">
        <v>45169</v>
      </c>
      <c r="C963" s="1" t="n">
        <v>45667</v>
      </c>
      <c r="D963" t="inlineStr">
        <is>
          <t>KALMAR LÄN</t>
        </is>
      </c>
      <c r="E963" t="inlineStr">
        <is>
          <t>HULTSFRED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40336-2023</t>
        </is>
      </c>
      <c r="B964" s="1" t="n">
        <v>45169</v>
      </c>
      <c r="C964" s="1" t="n">
        <v>45667</v>
      </c>
      <c r="D964" t="inlineStr">
        <is>
          <t>KALMAR LÄN</t>
        </is>
      </c>
      <c r="E964" t="inlineStr">
        <is>
          <t>HULTSFRED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40259-2023</t>
        </is>
      </c>
      <c r="B965" s="1" t="n">
        <v>45169</v>
      </c>
      <c r="C965" s="1" t="n">
        <v>45667</v>
      </c>
      <c r="D965" t="inlineStr">
        <is>
          <t>KALMAR LÄN</t>
        </is>
      </c>
      <c r="E965" t="inlineStr">
        <is>
          <t>HULTSFRED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40482-2023</t>
        </is>
      </c>
      <c r="B966" s="1" t="n">
        <v>45170</v>
      </c>
      <c r="C966" s="1" t="n">
        <v>45667</v>
      </c>
      <c r="D966" t="inlineStr">
        <is>
          <t>KALMAR LÄN</t>
        </is>
      </c>
      <c r="E966" t="inlineStr">
        <is>
          <t>HULTSFRED</t>
        </is>
      </c>
      <c r="F966" t="inlineStr">
        <is>
          <t>Övriga Aktiebolag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40554-2023</t>
        </is>
      </c>
      <c r="B967" s="1" t="n">
        <v>45170</v>
      </c>
      <c r="C967" s="1" t="n">
        <v>45667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41219-2023</t>
        </is>
      </c>
      <c r="B968" s="1" t="n">
        <v>45174</v>
      </c>
      <c r="C968" s="1" t="n">
        <v>45667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42462-2023</t>
        </is>
      </c>
      <c r="B969" s="1" t="n">
        <v>45175</v>
      </c>
      <c r="C969" s="1" t="n">
        <v>45667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42460-2023</t>
        </is>
      </c>
      <c r="B970" s="1" t="n">
        <v>45175</v>
      </c>
      <c r="C970" s="1" t="n">
        <v>45667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41876-2023</t>
        </is>
      </c>
      <c r="B971" s="1" t="n">
        <v>45176</v>
      </c>
      <c r="C971" s="1" t="n">
        <v>45667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42229-2023</t>
        </is>
      </c>
      <c r="B972" s="1" t="n">
        <v>45180</v>
      </c>
      <c r="C972" s="1" t="n">
        <v>45667</v>
      </c>
      <c r="D972" t="inlineStr">
        <is>
          <t>KALMAR LÄN</t>
        </is>
      </c>
      <c r="E972" t="inlineStr">
        <is>
          <t>HULTSFRED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42261-2023</t>
        </is>
      </c>
      <c r="B973" s="1" t="n">
        <v>45180</v>
      </c>
      <c r="C973" s="1" t="n">
        <v>45667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42316-2023</t>
        </is>
      </c>
      <c r="B974" s="1" t="n">
        <v>45180</v>
      </c>
      <c r="C974" s="1" t="n">
        <v>45667</v>
      </c>
      <c r="D974" t="inlineStr">
        <is>
          <t>KALMAR LÄN</t>
        </is>
      </c>
      <c r="E974" t="inlineStr">
        <is>
          <t>HULTSFRED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42434-2023</t>
        </is>
      </c>
      <c r="B975" s="1" t="n">
        <v>45180</v>
      </c>
      <c r="C975" s="1" t="n">
        <v>45667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42438-2023</t>
        </is>
      </c>
      <c r="B976" s="1" t="n">
        <v>45180</v>
      </c>
      <c r="C976" s="1" t="n">
        <v>45667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42961-2023</t>
        </is>
      </c>
      <c r="B977" s="1" t="n">
        <v>45182</v>
      </c>
      <c r="C977" s="1" t="n">
        <v>45667</v>
      </c>
      <c r="D977" t="inlineStr">
        <is>
          <t>KALMAR LÄN</t>
        </is>
      </c>
      <c r="E977" t="inlineStr">
        <is>
          <t>HULTSFRED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43167-2023</t>
        </is>
      </c>
      <c r="B978" s="1" t="n">
        <v>45183</v>
      </c>
      <c r="C978" s="1" t="n">
        <v>45667</v>
      </c>
      <c r="D978" t="inlineStr">
        <is>
          <t>KALMAR LÄN</t>
        </is>
      </c>
      <c r="E978" t="inlineStr">
        <is>
          <t>HULTSFRED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43560-2023</t>
        </is>
      </c>
      <c r="B979" s="1" t="n">
        <v>45184</v>
      </c>
      <c r="C979" s="1" t="n">
        <v>45667</v>
      </c>
      <c r="D979" t="inlineStr">
        <is>
          <t>KALMAR LÄN</t>
        </is>
      </c>
      <c r="E979" t="inlineStr">
        <is>
          <t>HULTSFRED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43623-2023</t>
        </is>
      </c>
      <c r="B980" s="1" t="n">
        <v>45184</v>
      </c>
      <c r="C980" s="1" t="n">
        <v>45667</v>
      </c>
      <c r="D980" t="inlineStr">
        <is>
          <t>KALMAR LÄN</t>
        </is>
      </c>
      <c r="E980" t="inlineStr">
        <is>
          <t>HULTSFRED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HYPERLINK("https://klasma.github.io/Logging_0860/knärot/A 43623-2023 karta knärot.png", "A 43623-2023")</f>
        <v/>
      </c>
      <c r="V980">
        <f>HYPERLINK("https://klasma.github.io/Logging_0860/klagomål/A 43623-2023 FSC-klagomål.docx", "A 43623-2023")</f>
        <v/>
      </c>
      <c r="W980">
        <f>HYPERLINK("https://klasma.github.io/Logging_0860/klagomålsmail/A 43623-2023 FSC-klagomål mail.docx", "A 43623-2023")</f>
        <v/>
      </c>
      <c r="X980">
        <f>HYPERLINK("https://klasma.github.io/Logging_0860/tillsyn/A 43623-2023 tillsynsbegäran.docx", "A 43623-2023")</f>
        <v/>
      </c>
      <c r="Y980">
        <f>HYPERLINK("https://klasma.github.io/Logging_0860/tillsynsmail/A 43623-2023 tillsynsbegäran mail.docx", "A 43623-2023")</f>
        <v/>
      </c>
    </row>
    <row r="981" ht="15" customHeight="1">
      <c r="A981" t="inlineStr">
        <is>
          <t>A 43632-2023</t>
        </is>
      </c>
      <c r="B981" s="1" t="n">
        <v>45185</v>
      </c>
      <c r="C981" s="1" t="n">
        <v>45667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43633-2023</t>
        </is>
      </c>
      <c r="B982" s="1" t="n">
        <v>45185</v>
      </c>
      <c r="C982" s="1" t="n">
        <v>45667</v>
      </c>
      <c r="D982" t="inlineStr">
        <is>
          <t>KALMAR LÄN</t>
        </is>
      </c>
      <c r="E982" t="inlineStr">
        <is>
          <t>HULTSFRED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44196-2023</t>
        </is>
      </c>
      <c r="B983" s="1" t="n">
        <v>45188</v>
      </c>
      <c r="C983" s="1" t="n">
        <v>45667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44681-2023</t>
        </is>
      </c>
      <c r="B984" s="1" t="n">
        <v>45189</v>
      </c>
      <c r="C984" s="1" t="n">
        <v>45667</v>
      </c>
      <c r="D984" t="inlineStr">
        <is>
          <t>KALMAR LÄN</t>
        </is>
      </c>
      <c r="E984" t="inlineStr">
        <is>
          <t>HULTSFRED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44715-2023</t>
        </is>
      </c>
      <c r="B985" s="1" t="n">
        <v>45190</v>
      </c>
      <c r="C985" s="1" t="n">
        <v>45667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44911-2023</t>
        </is>
      </c>
      <c r="B986" s="1" t="n">
        <v>45190</v>
      </c>
      <c r="C986" s="1" t="n">
        <v>45667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45049-2023</t>
        </is>
      </c>
      <c r="B987" s="1" t="n">
        <v>45191</v>
      </c>
      <c r="C987" s="1" t="n">
        <v>45667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45053-2023</t>
        </is>
      </c>
      <c r="B988" s="1" t="n">
        <v>45191</v>
      </c>
      <c r="C988" s="1" t="n">
        <v>45667</v>
      </c>
      <c r="D988" t="inlineStr">
        <is>
          <t>KALMAR LÄN</t>
        </is>
      </c>
      <c r="E988" t="inlineStr">
        <is>
          <t>HULTSFRED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45042-2023</t>
        </is>
      </c>
      <c r="B989" s="1" t="n">
        <v>45191</v>
      </c>
      <c r="C989" s="1" t="n">
        <v>45667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45047-2023</t>
        </is>
      </c>
      <c r="B990" s="1" t="n">
        <v>45191</v>
      </c>
      <c r="C990" s="1" t="n">
        <v>45667</v>
      </c>
      <c r="D990" t="inlineStr">
        <is>
          <t>KALMAR LÄN</t>
        </is>
      </c>
      <c r="E990" t="inlineStr">
        <is>
          <t>HULTSFRED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45056-2023</t>
        </is>
      </c>
      <c r="B991" s="1" t="n">
        <v>45191</v>
      </c>
      <c r="C991" s="1" t="n">
        <v>45667</v>
      </c>
      <c r="D991" t="inlineStr">
        <is>
          <t>KALMAR LÄN</t>
        </is>
      </c>
      <c r="E991" t="inlineStr">
        <is>
          <t>HULTSFRED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45291-2023</t>
        </is>
      </c>
      <c r="B992" s="1" t="n">
        <v>45191</v>
      </c>
      <c r="C992" s="1" t="n">
        <v>45667</v>
      </c>
      <c r="D992" t="inlineStr">
        <is>
          <t>KALMAR LÄN</t>
        </is>
      </c>
      <c r="E992" t="inlineStr">
        <is>
          <t>HULTSFRED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45305-2023</t>
        </is>
      </c>
      <c r="B993" s="1" t="n">
        <v>45191</v>
      </c>
      <c r="C993" s="1" t="n">
        <v>45667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46411-2023</t>
        </is>
      </c>
      <c r="B994" s="1" t="n">
        <v>45194</v>
      </c>
      <c r="C994" s="1" t="n">
        <v>45667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45660-2023</t>
        </is>
      </c>
      <c r="B995" s="1" t="n">
        <v>45194</v>
      </c>
      <c r="C995" s="1" t="n">
        <v>45667</v>
      </c>
      <c r="D995" t="inlineStr">
        <is>
          <t>KALMAR LÄN</t>
        </is>
      </c>
      <c r="E995" t="inlineStr">
        <is>
          <t>HULTSFRED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45430-2023</t>
        </is>
      </c>
      <c r="B996" s="1" t="n">
        <v>45194</v>
      </c>
      <c r="C996" s="1" t="n">
        <v>45667</v>
      </c>
      <c r="D996" t="inlineStr">
        <is>
          <t>KALMAR LÄN</t>
        </is>
      </c>
      <c r="E996" t="inlineStr">
        <is>
          <t>HULTSFRED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45458-2023</t>
        </is>
      </c>
      <c r="B997" s="1" t="n">
        <v>45194</v>
      </c>
      <c r="C997" s="1" t="n">
        <v>45667</v>
      </c>
      <c r="D997" t="inlineStr">
        <is>
          <t>KALMAR LÄN</t>
        </is>
      </c>
      <c r="E997" t="inlineStr">
        <is>
          <t>HULTSFRED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45658-2023</t>
        </is>
      </c>
      <c r="B998" s="1" t="n">
        <v>45194</v>
      </c>
      <c r="C998" s="1" t="n">
        <v>45667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46415-2023</t>
        </is>
      </c>
      <c r="B999" s="1" t="n">
        <v>45194</v>
      </c>
      <c r="C999" s="1" t="n">
        <v>45667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45850-2023</t>
        </is>
      </c>
      <c r="B1000" s="1" t="n">
        <v>45195</v>
      </c>
      <c r="C1000" s="1" t="n">
        <v>45667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46285-2023</t>
        </is>
      </c>
      <c r="B1001" s="1" t="n">
        <v>45197</v>
      </c>
      <c r="C1001" s="1" t="n">
        <v>45667</v>
      </c>
      <c r="D1001" t="inlineStr">
        <is>
          <t>KALMAR LÄN</t>
        </is>
      </c>
      <c r="E1001" t="inlineStr">
        <is>
          <t>HULTSFRED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46341-2023</t>
        </is>
      </c>
      <c r="B1002" s="1" t="n">
        <v>45197</v>
      </c>
      <c r="C1002" s="1" t="n">
        <v>45667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46501-2023</t>
        </is>
      </c>
      <c r="B1003" s="1" t="n">
        <v>45197</v>
      </c>
      <c r="C1003" s="1" t="n">
        <v>45667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46318-2023</t>
        </is>
      </c>
      <c r="B1004" s="1" t="n">
        <v>45197</v>
      </c>
      <c r="C1004" s="1" t="n">
        <v>45667</v>
      </c>
      <c r="D1004" t="inlineStr">
        <is>
          <t>KALMAR LÄN</t>
        </is>
      </c>
      <c r="E1004" t="inlineStr">
        <is>
          <t>HULTSFRED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46345-2023</t>
        </is>
      </c>
      <c r="B1005" s="1" t="n">
        <v>45197</v>
      </c>
      <c r="C1005" s="1" t="n">
        <v>45667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46498-2023</t>
        </is>
      </c>
      <c r="B1006" s="1" t="n">
        <v>45197</v>
      </c>
      <c r="C1006" s="1" t="n">
        <v>45667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46310-2023</t>
        </is>
      </c>
      <c r="B1007" s="1" t="n">
        <v>45197</v>
      </c>
      <c r="C1007" s="1" t="n">
        <v>45667</v>
      </c>
      <c r="D1007" t="inlineStr">
        <is>
          <t>KALMAR LÄN</t>
        </is>
      </c>
      <c r="E1007" t="inlineStr">
        <is>
          <t>HULTSFRED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46423-2023</t>
        </is>
      </c>
      <c r="B1008" s="1" t="n">
        <v>45197</v>
      </c>
      <c r="C1008" s="1" t="n">
        <v>45667</v>
      </c>
      <c r="D1008" t="inlineStr">
        <is>
          <t>KALMAR LÄN</t>
        </is>
      </c>
      <c r="E1008" t="inlineStr">
        <is>
          <t>HULTSFRED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46457-2023</t>
        </is>
      </c>
      <c r="B1009" s="1" t="n">
        <v>45197</v>
      </c>
      <c r="C1009" s="1" t="n">
        <v>45667</v>
      </c>
      <c r="D1009" t="inlineStr">
        <is>
          <t>KALMAR LÄN</t>
        </is>
      </c>
      <c r="E1009" t="inlineStr">
        <is>
          <t>HULTSFRED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46465-2023</t>
        </is>
      </c>
      <c r="B1010" s="1" t="n">
        <v>45197</v>
      </c>
      <c r="C1010" s="1" t="n">
        <v>45667</v>
      </c>
      <c r="D1010" t="inlineStr">
        <is>
          <t>KALMAR LÄN</t>
        </is>
      </c>
      <c r="E1010" t="inlineStr">
        <is>
          <t>HULTSFRED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48320-2023</t>
        </is>
      </c>
      <c r="B1011" s="1" t="n">
        <v>45205</v>
      </c>
      <c r="C1011" s="1" t="n">
        <v>45667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48600-2023</t>
        </is>
      </c>
      <c r="B1012" s="1" t="n">
        <v>45208</v>
      </c>
      <c r="C1012" s="1" t="n">
        <v>45667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48601-2023</t>
        </is>
      </c>
      <c r="B1013" s="1" t="n">
        <v>45208</v>
      </c>
      <c r="C1013" s="1" t="n">
        <v>45667</v>
      </c>
      <c r="D1013" t="inlineStr">
        <is>
          <t>KALMAR LÄN</t>
        </is>
      </c>
      <c r="E1013" t="inlineStr">
        <is>
          <t>HULTSFRED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48922-2023</t>
        </is>
      </c>
      <c r="B1014" s="1" t="n">
        <v>45209</v>
      </c>
      <c r="C1014" s="1" t="n">
        <v>45667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48927-2023</t>
        </is>
      </c>
      <c r="B1015" s="1" t="n">
        <v>45209</v>
      </c>
      <c r="C1015" s="1" t="n">
        <v>45667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48911-2023</t>
        </is>
      </c>
      <c r="B1016" s="1" t="n">
        <v>45209</v>
      </c>
      <c r="C1016" s="1" t="n">
        <v>45667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45667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45667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45667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45667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45667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45667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45667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45667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45667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45667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45667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45667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45667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45667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45667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45667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45667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45667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45667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45667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45667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45667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45667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45667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45667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45667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45667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45667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45667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45667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45667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45667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45667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45667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45667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45667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45667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45667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45667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45667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45667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45667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45667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45667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45667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45667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45667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45667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45667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45667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45667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45667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45667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45667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45667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45667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45667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45667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45667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45667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45667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45667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45667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45667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45667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45667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45667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45667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45667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45667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45667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45667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45667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45667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45667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45667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45667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45667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45667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45667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45667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45667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45667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45667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45667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45667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45667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45667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45667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45667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45667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45667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45667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45667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45667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45667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45667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45667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45667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45667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45667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45667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45667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45667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45667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45667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45667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45667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45667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45667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45667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45667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45667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45667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45667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45667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45667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45667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45667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45667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45667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45667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45667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45667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45667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45667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45667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45667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45667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45667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45667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45667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45667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45667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45667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45667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45667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45667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45667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45667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45667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45667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45667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45667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45667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45667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45667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45667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45667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45667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45667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45667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45667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45667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45667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45667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45667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45667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45667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45667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45667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45667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45667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45667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45667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45667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45667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45667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45667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45667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45667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45667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45667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45667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45667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45667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45667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45667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45667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45667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45667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45667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45667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45667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45667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45667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45667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45667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45667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45667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45667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45667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45667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45667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45667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45667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45667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45667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45667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45667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45667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45667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45667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45667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45667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45667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45667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45667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45667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45667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45667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45667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45667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45667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45667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45667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45667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45667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45667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45667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45667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45667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45667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45667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45667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45667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45667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45667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45667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45667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45667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45667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45667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45667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45667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45667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45667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45667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45667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45667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45667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45667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45667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45667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45667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45667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45667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45667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45667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45667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45667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45667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45667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45667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45667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45667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45667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45667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45667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45667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45667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45667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45667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45667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45667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45667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45667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45667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45667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45667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45667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45667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45667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45667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45667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45667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45667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45667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45667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45667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45667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45667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45667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45667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45667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45667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45667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45667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45667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45667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45667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45667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45667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45667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45667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45667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45667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45667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45667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45667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45667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45667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45667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45667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45667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45667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45667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45667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45667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45667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45667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45667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45667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45667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45667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45667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45667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45667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45667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45667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45667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45667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45667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45667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45667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45667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45667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45667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45667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45667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45667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45667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45667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45667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45667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45667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45667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45667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45667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45667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45667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45667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45667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45667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45667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45667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45667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45667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45667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45667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45667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45667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45667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45667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45667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45667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45667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45667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45667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45667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45667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45667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45667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45667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45667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45667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45667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45667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45667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45667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45667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45667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45667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45667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45667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45667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45667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52889-2024</t>
        </is>
      </c>
      <c r="B1394" s="1" t="n">
        <v>45610</v>
      </c>
      <c r="C1394" s="1" t="n">
        <v>45667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52893-2024</t>
        </is>
      </c>
      <c r="B1395" s="1" t="n">
        <v>45610</v>
      </c>
      <c r="C1395" s="1" t="n">
        <v>45667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52897-2024</t>
        </is>
      </c>
      <c r="B1396" s="1" t="n">
        <v>45610</v>
      </c>
      <c r="C1396" s="1" t="n">
        <v>45667</v>
      </c>
      <c r="D1396" t="inlineStr">
        <is>
          <t>KALMAR LÄN</t>
        </is>
      </c>
      <c r="E1396" t="inlineStr">
        <is>
          <t>HULTSFRED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45667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45667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52886-2024</t>
        </is>
      </c>
      <c r="B1399" s="1" t="n">
        <v>45610</v>
      </c>
      <c r="C1399" s="1" t="n">
        <v>45667</v>
      </c>
      <c r="D1399" t="inlineStr">
        <is>
          <t>KALMAR LÄN</t>
        </is>
      </c>
      <c r="E1399" t="inlineStr">
        <is>
          <t>HULTSFRED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45667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45667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53265-2024</t>
        </is>
      </c>
      <c r="B1402" s="1" t="n">
        <v>45614</v>
      </c>
      <c r="C1402" s="1" t="n">
        <v>45667</v>
      </c>
      <c r="D1402" t="inlineStr">
        <is>
          <t>KALMAR LÄN</t>
        </is>
      </c>
      <c r="E1402" t="inlineStr">
        <is>
          <t>HULTSFRED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53497-2024</t>
        </is>
      </c>
      <c r="B1403" s="1" t="n">
        <v>45614</v>
      </c>
      <c r="C1403" s="1" t="n">
        <v>45667</v>
      </c>
      <c r="D1403" t="inlineStr">
        <is>
          <t>KALMAR LÄN</t>
        </is>
      </c>
      <c r="E1403" t="inlineStr">
        <is>
          <t>HULTSFRED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53843-2024</t>
        </is>
      </c>
      <c r="B1404" s="1" t="n">
        <v>45615</v>
      </c>
      <c r="C1404" s="1" t="n">
        <v>45667</v>
      </c>
      <c r="D1404" t="inlineStr">
        <is>
          <t>KALMAR LÄN</t>
        </is>
      </c>
      <c r="E1404" t="inlineStr">
        <is>
          <t>HULTSFRED</t>
        </is>
      </c>
      <c r="G1404" t="n">
        <v>16.5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53835-2024</t>
        </is>
      </c>
      <c r="B1405" s="1" t="n">
        <v>45615</v>
      </c>
      <c r="C1405" s="1" t="n">
        <v>45667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53810-2024</t>
        </is>
      </c>
      <c r="B1406" s="1" t="n">
        <v>45615</v>
      </c>
      <c r="C1406" s="1" t="n">
        <v>45667</v>
      </c>
      <c r="D1406" t="inlineStr">
        <is>
          <t>KALMAR LÄN</t>
        </is>
      </c>
      <c r="E1406" t="inlineStr">
        <is>
          <t>HULTSFRED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54053-2024</t>
        </is>
      </c>
      <c r="B1407" s="1" t="n">
        <v>45616</v>
      </c>
      <c r="C1407" s="1" t="n">
        <v>45667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54050-2024</t>
        </is>
      </c>
      <c r="B1408" s="1" t="n">
        <v>45616</v>
      </c>
      <c r="C1408" s="1" t="n">
        <v>45667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54058-2024</t>
        </is>
      </c>
      <c r="B1409" s="1" t="n">
        <v>45616</v>
      </c>
      <c r="C1409" s="1" t="n">
        <v>45667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55129-2024</t>
        </is>
      </c>
      <c r="B1410" s="1" t="n">
        <v>45618</v>
      </c>
      <c r="C1410" s="1" t="n">
        <v>45667</v>
      </c>
      <c r="D1410" t="inlineStr">
        <is>
          <t>KALMAR LÄN</t>
        </is>
      </c>
      <c r="E1410" t="inlineStr">
        <is>
          <t>HULTSFRED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54767-2024</t>
        </is>
      </c>
      <c r="B1411" s="1" t="n">
        <v>45618</v>
      </c>
      <c r="C1411" s="1" t="n">
        <v>45667</v>
      </c>
      <c r="D1411" t="inlineStr">
        <is>
          <t>KALMAR LÄN</t>
        </is>
      </c>
      <c r="E1411" t="inlineStr">
        <is>
          <t>HULTSFRED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55131-2024</t>
        </is>
      </c>
      <c r="B1412" s="1" t="n">
        <v>45618</v>
      </c>
      <c r="C1412" s="1" t="n">
        <v>45667</v>
      </c>
      <c r="D1412" t="inlineStr">
        <is>
          <t>KALMAR LÄN</t>
        </is>
      </c>
      <c r="E1412" t="inlineStr">
        <is>
          <t>HULTSFRED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55108-2024</t>
        </is>
      </c>
      <c r="B1413" s="1" t="n">
        <v>45621</v>
      </c>
      <c r="C1413" s="1" t="n">
        <v>45667</v>
      </c>
      <c r="D1413" t="inlineStr">
        <is>
          <t>KALMAR LÄN</t>
        </is>
      </c>
      <c r="E1413" t="inlineStr">
        <is>
          <t>HULTSFRED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55184-2024</t>
        </is>
      </c>
      <c r="B1414" s="1" t="n">
        <v>45621</v>
      </c>
      <c r="C1414" s="1" t="n">
        <v>45667</v>
      </c>
      <c r="D1414" t="inlineStr">
        <is>
          <t>KALMAR LÄN</t>
        </is>
      </c>
      <c r="E1414" t="inlineStr">
        <is>
          <t>HULTSFRED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45667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45667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56100-2024</t>
        </is>
      </c>
      <c r="B1417" s="1" t="n">
        <v>45624</v>
      </c>
      <c r="C1417" s="1" t="n">
        <v>45667</v>
      </c>
      <c r="D1417" t="inlineStr">
        <is>
          <t>KALMAR LÄN</t>
        </is>
      </c>
      <c r="E1417" t="inlineStr">
        <is>
          <t>HULTSFRED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56102-2024</t>
        </is>
      </c>
      <c r="B1418" s="1" t="n">
        <v>45624</v>
      </c>
      <c r="C1418" s="1" t="n">
        <v>45667</v>
      </c>
      <c r="D1418" t="inlineStr">
        <is>
          <t>KALMAR LÄN</t>
        </is>
      </c>
      <c r="E1418" t="inlineStr">
        <is>
          <t>HULTSFRED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45667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45667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57004-2024</t>
        </is>
      </c>
      <c r="B1421" s="1" t="n">
        <v>45628</v>
      </c>
      <c r="C1421" s="1" t="n">
        <v>45667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57001-2024</t>
        </is>
      </c>
      <c r="B1422" s="1" t="n">
        <v>45628</v>
      </c>
      <c r="C1422" s="1" t="n">
        <v>45667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57037-2024</t>
        </is>
      </c>
      <c r="B1423" s="1" t="n">
        <v>45629</v>
      </c>
      <c r="C1423" s="1" t="n">
        <v>45667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57173-2024</t>
        </is>
      </c>
      <c r="B1424" s="1" t="n">
        <v>45629</v>
      </c>
      <c r="C1424" s="1" t="n">
        <v>45667</v>
      </c>
      <c r="D1424" t="inlineStr">
        <is>
          <t>KALMAR LÄN</t>
        </is>
      </c>
      <c r="E1424" t="inlineStr">
        <is>
          <t>HULTSFRED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57056-2024</t>
        </is>
      </c>
      <c r="B1425" s="1" t="n">
        <v>45629</v>
      </c>
      <c r="C1425" s="1" t="n">
        <v>45667</v>
      </c>
      <c r="D1425" t="inlineStr">
        <is>
          <t>KALMAR LÄN</t>
        </is>
      </c>
      <c r="E1425" t="inlineStr">
        <is>
          <t>HULTSFRED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57133-2024</t>
        </is>
      </c>
      <c r="B1426" s="1" t="n">
        <v>45629</v>
      </c>
      <c r="C1426" s="1" t="n">
        <v>45667</v>
      </c>
      <c r="D1426" t="inlineStr">
        <is>
          <t>KALMAR LÄN</t>
        </is>
      </c>
      <c r="E1426" t="inlineStr">
        <is>
          <t>HULTSFRED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57180-2024</t>
        </is>
      </c>
      <c r="B1427" s="1" t="n">
        <v>45629</v>
      </c>
      <c r="C1427" s="1" t="n">
        <v>45667</v>
      </c>
      <c r="D1427" t="inlineStr">
        <is>
          <t>KALMAR LÄN</t>
        </is>
      </c>
      <c r="E1427" t="inlineStr">
        <is>
          <t>HULTSFRED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57483-2024</t>
        </is>
      </c>
      <c r="B1428" s="1" t="n">
        <v>45630</v>
      </c>
      <c r="C1428" s="1" t="n">
        <v>45667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57480-2024</t>
        </is>
      </c>
      <c r="B1429" s="1" t="n">
        <v>45630</v>
      </c>
      <c r="C1429" s="1" t="n">
        <v>45667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57524-2024</t>
        </is>
      </c>
      <c r="B1430" s="1" t="n">
        <v>45630</v>
      </c>
      <c r="C1430" s="1" t="n">
        <v>45667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45667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58476-2024</t>
        </is>
      </c>
      <c r="B1432" s="1" t="n">
        <v>45635</v>
      </c>
      <c r="C1432" s="1" t="n">
        <v>45667</v>
      </c>
      <c r="D1432" t="inlineStr">
        <is>
          <t>KALMAR LÄN</t>
        </is>
      </c>
      <c r="E1432" t="inlineStr">
        <is>
          <t>HULTSFRED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58510-2024</t>
        </is>
      </c>
      <c r="B1433" s="1" t="n">
        <v>45635</v>
      </c>
      <c r="C1433" s="1" t="n">
        <v>45667</v>
      </c>
      <c r="D1433" t="inlineStr">
        <is>
          <t>KALMAR LÄN</t>
        </is>
      </c>
      <c r="E1433" t="inlineStr">
        <is>
          <t>HULTSFRED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58837-2024</t>
        </is>
      </c>
      <c r="B1434" s="1" t="n">
        <v>45636</v>
      </c>
      <c r="C1434" s="1" t="n">
        <v>45667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59226-2024</t>
        </is>
      </c>
      <c r="B1435" s="1" t="n">
        <v>45637</v>
      </c>
      <c r="C1435" s="1" t="n">
        <v>45667</v>
      </c>
      <c r="D1435" t="inlineStr">
        <is>
          <t>KALMAR LÄN</t>
        </is>
      </c>
      <c r="E1435" t="inlineStr">
        <is>
          <t>HULTSFRED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59235-2024</t>
        </is>
      </c>
      <c r="B1436" s="1" t="n">
        <v>45637</v>
      </c>
      <c r="C1436" s="1" t="n">
        <v>45667</v>
      </c>
      <c r="D1436" t="inlineStr">
        <is>
          <t>KALMAR LÄN</t>
        </is>
      </c>
      <c r="E1436" t="inlineStr">
        <is>
          <t>HULTSFRED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59239-2024</t>
        </is>
      </c>
      <c r="B1437" s="1" t="n">
        <v>45637</v>
      </c>
      <c r="C1437" s="1" t="n">
        <v>45667</v>
      </c>
      <c r="D1437" t="inlineStr">
        <is>
          <t>KALMAR LÄN</t>
        </is>
      </c>
      <c r="E1437" t="inlineStr">
        <is>
          <t>HULTSFRED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59548-2024</t>
        </is>
      </c>
      <c r="B1438" s="1" t="n">
        <v>45637</v>
      </c>
      <c r="C1438" s="1" t="n">
        <v>45667</v>
      </c>
      <c r="D1438" t="inlineStr">
        <is>
          <t>KALMAR LÄN</t>
        </is>
      </c>
      <c r="E1438" t="inlineStr">
        <is>
          <t>HULTSFRED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59201-2024</t>
        </is>
      </c>
      <c r="B1439" s="1" t="n">
        <v>45637</v>
      </c>
      <c r="C1439" s="1" t="n">
        <v>45667</v>
      </c>
      <c r="D1439" t="inlineStr">
        <is>
          <t>KALMAR LÄN</t>
        </is>
      </c>
      <c r="E1439" t="inlineStr">
        <is>
          <t>HULTSFRED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59467-2024</t>
        </is>
      </c>
      <c r="B1440" s="1" t="n">
        <v>45638</v>
      </c>
      <c r="C1440" s="1" t="n">
        <v>45667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59764-2024</t>
        </is>
      </c>
      <c r="B1441" s="1" t="n">
        <v>45638</v>
      </c>
      <c r="C1441" s="1" t="n">
        <v>45667</v>
      </c>
      <c r="D1441" t="inlineStr">
        <is>
          <t>KALMAR LÄN</t>
        </is>
      </c>
      <c r="E1441" t="inlineStr">
        <is>
          <t>HULTSFRED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59464-2024</t>
        </is>
      </c>
      <c r="B1442" s="1" t="n">
        <v>45638</v>
      </c>
      <c r="C1442" s="1" t="n">
        <v>45667</v>
      </c>
      <c r="D1442" t="inlineStr">
        <is>
          <t>KALMAR LÄN</t>
        </is>
      </c>
      <c r="E1442" t="inlineStr">
        <is>
          <t>HULTSFRED</t>
        </is>
      </c>
      <c r="F1442" t="inlineStr">
        <is>
          <t>Sveaskog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60087-2024</t>
        </is>
      </c>
      <c r="B1443" s="1" t="n">
        <v>45639</v>
      </c>
      <c r="C1443" s="1" t="n">
        <v>45667</v>
      </c>
      <c r="D1443" t="inlineStr">
        <is>
          <t>KALMAR LÄN</t>
        </is>
      </c>
      <c r="E1443" t="inlineStr">
        <is>
          <t>HULTSFRED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60074-2024</t>
        </is>
      </c>
      <c r="B1444" s="1" t="n">
        <v>45642</v>
      </c>
      <c r="C1444" s="1" t="n">
        <v>45667</v>
      </c>
      <c r="D1444" t="inlineStr">
        <is>
          <t>KALMAR LÄN</t>
        </is>
      </c>
      <c r="E1444" t="inlineStr">
        <is>
          <t>HULTSFRED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60090-2024</t>
        </is>
      </c>
      <c r="B1445" s="1" t="n">
        <v>45642</v>
      </c>
      <c r="C1445" s="1" t="n">
        <v>45667</v>
      </c>
      <c r="D1445" t="inlineStr">
        <is>
          <t>KALMAR LÄN</t>
        </is>
      </c>
      <c r="E1445" t="inlineStr">
        <is>
          <t>HULTSFRED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60101-2024</t>
        </is>
      </c>
      <c r="B1446" s="1" t="n">
        <v>45642</v>
      </c>
      <c r="C1446" s="1" t="n">
        <v>45667</v>
      </c>
      <c r="D1446" t="inlineStr">
        <is>
          <t>KALMAR LÄN</t>
        </is>
      </c>
      <c r="E1446" t="inlineStr">
        <is>
          <t>HULTSFRED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60302-2024</t>
        </is>
      </c>
      <c r="B1447" s="1" t="n">
        <v>45643</v>
      </c>
      <c r="C1447" s="1" t="n">
        <v>45667</v>
      </c>
      <c r="D1447" t="inlineStr">
        <is>
          <t>KALMAR LÄN</t>
        </is>
      </c>
      <c r="E1447" t="inlineStr">
        <is>
          <t>HULTSFRED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60778-2024</t>
        </is>
      </c>
      <c r="B1448" s="1" t="n">
        <v>45644</v>
      </c>
      <c r="C1448" s="1" t="n">
        <v>45667</v>
      </c>
      <c r="D1448" t="inlineStr">
        <is>
          <t>KALMAR LÄN</t>
        </is>
      </c>
      <c r="E1448" t="inlineStr">
        <is>
          <t>HULTSFRED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61509-2024</t>
        </is>
      </c>
      <c r="B1449" s="1" t="n">
        <v>45646</v>
      </c>
      <c r="C1449" s="1" t="n">
        <v>45667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61802-2024</t>
        </is>
      </c>
      <c r="B1450" s="1" t="n">
        <v>45649</v>
      </c>
      <c r="C1450" s="1" t="n">
        <v>45667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62070-2024</t>
        </is>
      </c>
      <c r="B1451" s="1" t="n">
        <v>45656</v>
      </c>
      <c r="C1451" s="1" t="n">
        <v>45667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76-2025</t>
        </is>
      </c>
      <c r="B1452" s="1" t="n">
        <v>45659</v>
      </c>
      <c r="C1452" s="1" t="n">
        <v>45667</v>
      </c>
      <c r="D1452" t="inlineStr">
        <is>
          <t>KALMAR LÄN</t>
        </is>
      </c>
      <c r="E1452" t="inlineStr">
        <is>
          <t>HULTSFRED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585-2025</t>
        </is>
      </c>
      <c r="B1453" s="1" t="n">
        <v>45660</v>
      </c>
      <c r="C1453" s="1" t="n">
        <v>45667</v>
      </c>
      <c r="D1453" t="inlineStr">
        <is>
          <t>KALMAR LÄN</t>
        </is>
      </c>
      <c r="E1453" t="inlineStr">
        <is>
          <t>HULTSFRED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297-2025</t>
        </is>
      </c>
      <c r="B1454" s="1" t="n">
        <v>45660</v>
      </c>
      <c r="C1454" s="1" t="n">
        <v>45667</v>
      </c>
      <c r="D1454" t="inlineStr">
        <is>
          <t>KALMAR LÄN</t>
        </is>
      </c>
      <c r="E1454" t="inlineStr">
        <is>
          <t>HULTSFRED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340-2025</t>
        </is>
      </c>
      <c r="B1455" s="1" t="n">
        <v>45660</v>
      </c>
      <c r="C1455" s="1" t="n">
        <v>45667</v>
      </c>
      <c r="D1455" t="inlineStr">
        <is>
          <t>KALMAR LÄN</t>
        </is>
      </c>
      <c r="E1455" t="inlineStr">
        <is>
          <t>HULTSFRED</t>
        </is>
      </c>
      <c r="G1455" t="n">
        <v>12.2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590-2025</t>
        </is>
      </c>
      <c r="B1456" s="1" t="n">
        <v>45660</v>
      </c>
      <c r="C1456" s="1" t="n">
        <v>45667</v>
      </c>
      <c r="D1456" t="inlineStr">
        <is>
          <t>KALMAR LÄN</t>
        </is>
      </c>
      <c r="E1456" t="inlineStr">
        <is>
          <t>HULTSFRED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524-2025</t>
        </is>
      </c>
      <c r="B1457" s="1" t="n">
        <v>45664</v>
      </c>
      <c r="C1457" s="1" t="n">
        <v>45667</v>
      </c>
      <c r="D1457" t="inlineStr">
        <is>
          <t>KALMAR LÄN</t>
        </is>
      </c>
      <c r="E1457" t="inlineStr">
        <is>
          <t>HULTSFRED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>
      <c r="A1458" t="inlineStr">
        <is>
          <t>A 1027-2025</t>
        </is>
      </c>
      <c r="B1458" s="1" t="n">
        <v>45666</v>
      </c>
      <c r="C1458" s="1" t="n">
        <v>45667</v>
      </c>
      <c r="D1458" t="inlineStr">
        <is>
          <t>KALMAR LÄN</t>
        </is>
      </c>
      <c r="E1458" t="inlineStr">
        <is>
          <t>HULTSFRED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2025-01-10T16:18:27Z</dcterms:created>
  <dcterms:modified xmlns:dcterms="http://purl.org/dc/terms/" xmlns:xsi="http://www.w3.org/2001/XMLSchema-instance" xsi:type="dcterms:W3CDTF">2025-01-10T16:18:29Z</dcterms:modified>
</cp:coreProperties>
</file>