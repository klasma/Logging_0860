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45349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45349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45349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45349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45349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45349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45349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45349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45349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45349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45349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45349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45349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45349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45349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45349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45349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45349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45349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45349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45349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45349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45349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45349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45349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45349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45349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45349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45349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45349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45349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45349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45349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45349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45349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45349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45349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45349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45349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45349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45349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45349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45349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45349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45349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45349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45349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45349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45349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45349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45349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45349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45349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45349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45349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45349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45349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45349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45349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45349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45349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45349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45349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45349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45349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45349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45349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45349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45349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45349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45349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45349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45349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45349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45349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45349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45349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45349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45349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45349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45349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45349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45349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45349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45349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45349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45349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45349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45349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4257-2024</t>
        </is>
      </c>
      <c r="B91" s="1" t="n">
        <v>45324</v>
      </c>
      <c r="C91" s="1" t="n">
        <v>45349</v>
      </c>
      <c r="D91" t="inlineStr">
        <is>
          <t>KALMAR LÄN</t>
        </is>
      </c>
      <c r="E91" t="inlineStr">
        <is>
          <t>HULTSFRED</t>
        </is>
      </c>
      <c r="G91" t="n">
        <v>0.4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4257-2024 artfynd.xlsx", "A 4257-2024")</f>
        <v/>
      </c>
      <c r="T91">
        <f>HYPERLINK("https://klasma.github.io/Logging_0860/kartor/A 4257-2024 karta.png", "A 4257-2024")</f>
        <v/>
      </c>
      <c r="U91">
        <f>HYPERLINK("https://klasma.github.io/Logging_0860/knärot/A 4257-2024 karta knärot.png", "A 4257-2024")</f>
        <v/>
      </c>
      <c r="V91">
        <f>HYPERLINK("https://klasma.github.io/Logging_0860/klagomål/A 4257-2024 FSC-klagomål.docx", "A 4257-2024")</f>
        <v/>
      </c>
      <c r="W91">
        <f>HYPERLINK("https://klasma.github.io/Logging_0860/klagomålsmail/A 4257-2024 FSC-klagomål mail.docx", "A 4257-2024")</f>
        <v/>
      </c>
      <c r="X91">
        <f>HYPERLINK("https://klasma.github.io/Logging_0860/tillsyn/A 4257-2024 tillsynsbegäran.docx", "A 4257-2024")</f>
        <v/>
      </c>
      <c r="Y91">
        <f>HYPERLINK("https://klasma.github.io/Logging_0860/tillsynsmail/A 4257-2024 tillsynsbegäran mail.docx", "A 4257-2024")</f>
        <v/>
      </c>
    </row>
    <row r="92" ht="15" customHeight="1">
      <c r="A92" t="inlineStr">
        <is>
          <t>A 4254-2024</t>
        </is>
      </c>
      <c r="B92" s="1" t="n">
        <v>45324</v>
      </c>
      <c r="C92" s="1" t="n">
        <v>45349</v>
      </c>
      <c r="D92" t="inlineStr">
        <is>
          <t>KALMAR LÄN</t>
        </is>
      </c>
      <c r="E92" t="inlineStr">
        <is>
          <t>HULTSFRED</t>
        </is>
      </c>
      <c r="G92" t="n">
        <v>1.7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4254-2024 artfynd.xlsx", "A 4254-2024")</f>
        <v/>
      </c>
      <c r="T92">
        <f>HYPERLINK("https://klasma.github.io/Logging_0860/kartor/A 4254-2024 karta.png", "A 4254-2024")</f>
        <v/>
      </c>
      <c r="U92">
        <f>HYPERLINK("https://klasma.github.io/Logging_0860/knärot/A 4254-2024 karta knärot.png", "A 4254-2024")</f>
        <v/>
      </c>
      <c r="V92">
        <f>HYPERLINK("https://klasma.github.io/Logging_0860/klagomål/A 4254-2024 FSC-klagomål.docx", "A 4254-2024")</f>
        <v/>
      </c>
      <c r="W92">
        <f>HYPERLINK("https://klasma.github.io/Logging_0860/klagomålsmail/A 4254-2024 FSC-klagomål mail.docx", "A 4254-2024")</f>
        <v/>
      </c>
      <c r="X92">
        <f>HYPERLINK("https://klasma.github.io/Logging_0860/tillsyn/A 4254-2024 tillsynsbegäran.docx", "A 4254-2024")</f>
        <v/>
      </c>
      <c r="Y92">
        <f>HYPERLINK("https://klasma.github.io/Logging_0860/tillsynsmail/A 4254-2024 tillsynsbegäran mail.docx", "A 4254-2024")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45349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45349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45349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45349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45349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45349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45349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45349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45349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45349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45349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45349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45349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45349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45349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45349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45349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45349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45349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45349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45349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45349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45349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45349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45349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45349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45349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45349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45349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45349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45349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45349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45349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45349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45349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45349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45349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45349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45349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45349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45349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45349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45349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45349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45349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45349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45349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45349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45349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45349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45349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45349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45349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45349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45349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45349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45349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45349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45349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45349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45349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45349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45349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45349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45349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45349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45349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45349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45349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45349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45349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45349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45349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45349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45349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45349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45349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45349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45349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45349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45349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45349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45349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45349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45349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45349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45349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45349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45349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45349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45349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45349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45349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45349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45349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45349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45349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45349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45349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45349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45349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45349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45349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45349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45349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45349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45349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45349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45349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45349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45349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45349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45349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45349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45349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45349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45349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45349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45349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45349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45349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45349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45349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45349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45349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45349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45349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45349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45349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45349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45349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45349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45349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45349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45349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45349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45349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45349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45349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45349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45349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45349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45349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45349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45349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45349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45349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45349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45349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45349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45349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45349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45349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45349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45349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45349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45349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45349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45349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45349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45349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45349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45349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45349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45349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45349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45349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45349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45349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45349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45349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45349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45349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45349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45349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45349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45349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45349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45349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45349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45349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45349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45349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45349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45349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45349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45349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45349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45349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45349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45349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45349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45349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45349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45349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45349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45349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45349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45349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45349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45349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45349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45349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45349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45349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45349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45349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45349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45349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45349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45349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45349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45349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45349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45349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45349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45349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45349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45349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45349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45349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45349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45349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45349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45349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45349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45349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45349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45349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45349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45349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45349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45349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45349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45349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45349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45349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45349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45349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45349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45349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45349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45349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45349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45349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45349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45349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45349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45349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45349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45349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45349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45349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45349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45349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45349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45349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45349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45349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45349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45349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45349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45349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45349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45349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45349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45349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45349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45349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45349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45349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45349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45349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45349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45349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45349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45349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45349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45349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45349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45349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45349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45349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45349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45349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45349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45349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45349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45349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45349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45349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45349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45349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45349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45349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45349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45349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45349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45349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45349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45349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45349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45349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45349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45349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45349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45349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45349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45349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45349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45349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45349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45349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45349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45349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45349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45349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45349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45349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45349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45349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45349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45349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45349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45349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45349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45349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45349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45349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45349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45349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45349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45349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45349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45349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45349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45349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45349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45349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45349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45349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45349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45349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45349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45349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45349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45349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45349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45349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45349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45349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45349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45349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45349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45349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45349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45349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45349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45349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45349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45349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45349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45349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45349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45349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45349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45349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45349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45349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45349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45349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45349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45349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45349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45349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45349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45349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45349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45349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45349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45349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45349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45349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45349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45349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45349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45349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45349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45349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45349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45349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45349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45349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45349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45349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45349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45349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45349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45349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45349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45349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45349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45349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45349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45349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45349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45349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45349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45349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45349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45349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45349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45349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45349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45349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45349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45349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45349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45349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45349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45349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45349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45349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45349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45349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45349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45349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45349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45349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45349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45349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45349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45349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45349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45349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45349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45349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45349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45349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45349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45349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45349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45349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45349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45349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45349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45349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45349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45349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45349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45349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45349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45349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45349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45349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45349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45349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45349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45349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45349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45349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45349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45349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45349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45349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45349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45349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45349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45349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45349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45349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45349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45349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45349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45349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45349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45349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45349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45349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45349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45349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45349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45349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45349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45349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45349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45349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45349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45349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45349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45349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45349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45349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45349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45349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45349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45349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45349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45349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45349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45349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45349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45349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45349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45349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45349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45349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45349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45349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45349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45349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45349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45349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45349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45349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45349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45349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45349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45349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45349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45349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45349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45349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45349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45349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45349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45349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45349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45349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45349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45349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45349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45349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45349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45349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45349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45349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45349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45349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45349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45349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45349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45349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45349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45349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45349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45349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45349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45349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45349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45349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45349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45349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45349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45349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45349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45349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45349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45349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45349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45349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45349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45349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45349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45349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45349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45349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45349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45349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45349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45349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45349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45349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45349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45349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45349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45349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45349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45349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45349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45349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45349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45349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45349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45349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45349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45349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45349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45349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45349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45349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45349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45349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45349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45349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45349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45349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45349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45349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45349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45349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45349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45349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45349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45349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45349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45349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45349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45349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45349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45349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45349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45349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45349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45349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45349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45349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45349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45349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45349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45349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45349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45349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45349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45349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45349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45349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45349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45349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45349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45349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45349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45349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45349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45349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45349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45349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45349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45349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45349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45349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45349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45349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45349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45349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45349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45349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45349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45349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45349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45349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45349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45349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45349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45349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45349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45349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45349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45349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45349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45349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45349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45349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45349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45349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45349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45349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45349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45349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45349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45349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45349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45349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45349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45349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45349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45349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45349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45349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45349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45349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45349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45349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45349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45349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45349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45349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45349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45349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45349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45349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45349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45349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45349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45349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45349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45349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45349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45349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45349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45349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45349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45349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45349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45349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45349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45349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45349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45349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45349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45349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45349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45349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45349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45349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45349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45349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45349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45349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45349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45349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45349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45349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45349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45349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45349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45349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45349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45349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45349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45349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45349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45349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45349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45349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45349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45349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45349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45349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45349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45349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45349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45349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45349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45349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45349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45349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45349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45349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45349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45349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45349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45349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45349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45349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45349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45349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45349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45349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45349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45349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45349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45349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45349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45349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45349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45349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45349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45349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45349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45349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45349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45349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45349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45349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45349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45349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45349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45349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45349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45349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45349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45349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45349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45349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45349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45349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45349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45349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45349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45349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45349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45349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45349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45349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45349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45349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45349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45349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45349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45349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45349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45349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45349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45349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45349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45349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45349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45349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45349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45349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45349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45349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45349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45349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45349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45349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45349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45349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45349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45349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45349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45349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45349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45349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45349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45349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45349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45349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45349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45349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45349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45349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45349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45349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45349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45349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45349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45349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45349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45349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45349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45349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45349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45349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45349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45349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45349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45349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45349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45349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45349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45349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45349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45349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45349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45349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45349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45349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45349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45349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45349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45349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45349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45349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45349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45349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45349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45349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45349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45349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45349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45349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45349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45349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45349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45349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45349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45349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45349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45349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45349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45349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45349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45349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45349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45349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45349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45349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45349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45349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45349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45349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45349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45349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45349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45349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45349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45349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45349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45349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45349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45349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45349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45349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45349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45349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45349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45349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45349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45349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45349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45349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45349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45349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45349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45349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45349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45349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45349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45349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45349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45349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45349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45349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45349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45349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45349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45349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45349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45349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45349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45349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45349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45349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45349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45349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45349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45349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45349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45349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45349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45349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45349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45349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45349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45349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45349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45349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45349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45349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45349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45349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45349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45349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45349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45349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45349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45349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45349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45349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45349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45349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45349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45349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45349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45349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45349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45349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45349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45349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45349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45349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45349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45349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45349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45349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45349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45349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45349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45349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45349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45349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45349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45349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45349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45349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45349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45349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45349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45349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45349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45349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45349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45349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45349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45349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45349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45349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45349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45349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45349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45349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45349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45349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45349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45349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45349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45349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45349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45349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45349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45349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45349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45349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45349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45349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45349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45349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45349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45349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45349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45349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45349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45349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45349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45349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45349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45349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45349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45349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45349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45349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45349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45349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45349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45349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45349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45349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45349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45349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45349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45349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45349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45349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45349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45349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45349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45349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45349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45349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45349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45349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45349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45349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45349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45349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45349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45349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45349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45349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45349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45349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45349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45349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45349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45349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45349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45349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45349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45349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45349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45349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45349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45349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45349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45349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45349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45349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45349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45349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45349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45349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45349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45349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45349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45349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45349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45349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45349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45349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45349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45349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45349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45349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45349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45349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45349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45349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45349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45349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45349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45349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45349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45349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45349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45349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45349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45349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45349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45349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45349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45349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45349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45349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45349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45349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45349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45349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45349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45349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45349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45349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45349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45349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45349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45349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45349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45349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45349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45349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45349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45349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45349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45349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45349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45349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45349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45349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45349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45349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45349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45349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45349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45349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45349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45349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45349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45349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45349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45349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45349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45349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45349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4659-2024</t>
        </is>
      </c>
      <c r="B1247" s="1" t="n">
        <v>45328</v>
      </c>
      <c r="C1247" s="1" t="n">
        <v>45349</v>
      </c>
      <c r="D1247" t="inlineStr">
        <is>
          <t>KALMAR LÄN</t>
        </is>
      </c>
      <c r="E1247" t="inlineStr">
        <is>
          <t>HULTSFRED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4618-2024</t>
        </is>
      </c>
      <c r="B1248" s="1" t="n">
        <v>45328</v>
      </c>
      <c r="C1248" s="1" t="n">
        <v>45349</v>
      </c>
      <c r="D1248" t="inlineStr">
        <is>
          <t>KALMAR LÄN</t>
        </is>
      </c>
      <c r="E1248" t="inlineStr">
        <is>
          <t>HULTSFRED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4672-2024</t>
        </is>
      </c>
      <c r="B1249" s="1" t="n">
        <v>45328</v>
      </c>
      <c r="C1249" s="1" t="n">
        <v>45349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45349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45349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45349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5794-2024</t>
        </is>
      </c>
      <c r="B1253" s="1" t="n">
        <v>45335</v>
      </c>
      <c r="C1253" s="1" t="n">
        <v>45349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5789-2024</t>
        </is>
      </c>
      <c r="B1254" s="1" t="n">
        <v>45335</v>
      </c>
      <c r="C1254" s="1" t="n">
        <v>45349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5793-2024</t>
        </is>
      </c>
      <c r="B1255" s="1" t="n">
        <v>45335</v>
      </c>
      <c r="C1255" s="1" t="n">
        <v>45349</v>
      </c>
      <c r="D1255" t="inlineStr">
        <is>
          <t>KALMAR LÄN</t>
        </is>
      </c>
      <c r="E1255" t="inlineStr">
        <is>
          <t>HULTSFRED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5787-2024</t>
        </is>
      </c>
      <c r="B1256" s="1" t="n">
        <v>45335</v>
      </c>
      <c r="C1256" s="1" t="n">
        <v>45349</v>
      </c>
      <c r="D1256" t="inlineStr">
        <is>
          <t>KALMAR LÄN</t>
        </is>
      </c>
      <c r="E1256" t="inlineStr">
        <is>
          <t>HULTSFRED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45349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45349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45349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45349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6560-2024</t>
        </is>
      </c>
      <c r="B1261" s="1" t="n">
        <v>45341</v>
      </c>
      <c r="C1261" s="1" t="n">
        <v>45349</v>
      </c>
      <c r="D1261" t="inlineStr">
        <is>
          <t>KALMAR LÄN</t>
        </is>
      </c>
      <c r="E1261" t="inlineStr">
        <is>
          <t>HULTSFRED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6557-2024</t>
        </is>
      </c>
      <c r="B1262" s="1" t="n">
        <v>45341</v>
      </c>
      <c r="C1262" s="1" t="n">
        <v>45349</v>
      </c>
      <c r="D1262" t="inlineStr">
        <is>
          <t>KALMAR LÄN</t>
        </is>
      </c>
      <c r="E1262" t="inlineStr">
        <is>
          <t>HULTSFRED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45349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45349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45349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>
      <c r="A1266" t="inlineStr">
        <is>
          <t>A 7515-2024</t>
        </is>
      </c>
      <c r="B1266" s="1" t="n">
        <v>45348</v>
      </c>
      <c r="C1266" s="1" t="n">
        <v>45349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2024-02-27T13:08:04Z</dcterms:created>
  <dcterms:modified xmlns:dcterms="http://purl.org/dc/terms/" xmlns:xsi="http://www.w3.org/2001/XMLSchema-instance" xsi:type="dcterms:W3CDTF">2024-02-27T13:08:05Z</dcterms:modified>
</cp:coreProperties>
</file>