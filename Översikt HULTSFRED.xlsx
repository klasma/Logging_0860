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46221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46221</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46221</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46221</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46221</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46221</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46221</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HYPERLINK("https://klasma.github.io/Logging_0860/knärot/A 15095-2024 karta knärot.png", "A 15095-2024")</f>
        <v/>
      </c>
      <c r="Y8">
        <f>HYPERLINK("https://klasma.github.io/Logging_0860/klagomål/A 15095-2024 FSC-klagomål.docx", "A 15095-2024")</f>
        <v/>
      </c>
      <c r="Z8">
        <f>HYPERLINK("https://klasma.github.io/Logging_0860/klagomålsmail/A 15095-2024 FSC-klagomål mail.docx", "A 15095-2024")</f>
        <v/>
      </c>
      <c r="AA8">
        <f>HYPERLINK("https://klasma.github.io/Logging_0860/tillsyn/A 15095-2024 tillsynsbegäran.docx", "A 15095-2024")</f>
        <v/>
      </c>
      <c r="AB8">
        <f>HYPERLINK("https://klasma.github.io/Logging_0860/tillsynsmail/A 15095-2024 tillsynsbegäran mail.docx", "A 15095-2024")</f>
        <v/>
      </c>
      <c r="AC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46221</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HYPERLINK("https://klasma.github.io/Logging_0860/knärot/A 37640-2024 karta knärot.png", "A 37640-2024")</f>
        <v/>
      </c>
      <c r="Y9">
        <f>HYPERLINK("https://klasma.github.io/Logging_0860/klagomål/A 37640-2024 FSC-klagomål.docx", "A 37640-2024")</f>
        <v/>
      </c>
      <c r="Z9">
        <f>HYPERLINK("https://klasma.github.io/Logging_0860/klagomålsmail/A 37640-2024 FSC-klagomål mail.docx", "A 37640-2024")</f>
        <v/>
      </c>
      <c r="AA9">
        <f>HYPERLINK("https://klasma.github.io/Logging_0860/tillsyn/A 37640-2024 tillsynsbegäran.docx", "A 37640-2024")</f>
        <v/>
      </c>
      <c r="AB9">
        <f>HYPERLINK("https://klasma.github.io/Logging_0860/tillsynsmail/A 37640-2024 tillsynsbegäran mail.docx", "A 37640-2024")</f>
        <v/>
      </c>
      <c r="AC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46221</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46221</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46221</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46221</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46221</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73465-2021</t>
        </is>
      </c>
      <c r="B15" t="inlineStr">
        <is>
          <t>avverkningsanmälan</t>
        </is>
      </c>
      <c r="C15" t="inlineStr">
        <is>
          <t>Föryngringsavverkning</t>
        </is>
      </c>
      <c r="D15" s="1" t="n">
        <v>44551</v>
      </c>
      <c r="E15" s="1" t="n">
        <v>46221</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s="2" t="inlineStr">
        <is>
          <t>Knärot
Dropptaggsvamp
Talltita
Tibast
Blåsippa
Kungsfågel
Revlummer</t>
        </is>
      </c>
      <c r="V15">
        <f>HYPERLINK("https://klasma.github.io/Logging_0860/artfynd/A 73465-2021 artfynd.xlsx", "A 73465-2021")</f>
        <v/>
      </c>
      <c r="W15">
        <f>HYPERLINK("https://klasma.github.io/Logging_0860/kartor/A 73465-2021 karta.png", "A 73465-2021")</f>
        <v/>
      </c>
      <c r="X15">
        <f>HYPERLINK("https://klasma.github.io/Logging_0860/knärot/A 73465-2021 karta knärot.png", "A 73465-2021")</f>
        <v/>
      </c>
      <c r="Y15">
        <f>HYPERLINK("https://klasma.github.io/Logging_0860/klagomål/A 73465-2021 FSC-klagomål.docx", "A 73465-2021")</f>
        <v/>
      </c>
      <c r="Z15">
        <f>HYPERLINK("https://klasma.github.io/Logging_0860/klagomålsmail/A 73465-2021 FSC-klagomål mail.docx", "A 73465-2021")</f>
        <v/>
      </c>
      <c r="AA15">
        <f>HYPERLINK("https://klasma.github.io/Logging_0860/tillsyn/A 73465-2021 tillsynsbegäran.docx", "A 73465-2021")</f>
        <v/>
      </c>
      <c r="AB15">
        <f>HYPERLINK("https://klasma.github.io/Logging_0860/tillsynsmail/A 73465-2021 tillsynsbegäran mail.docx", "A 73465-2021")</f>
        <v/>
      </c>
      <c r="AC15">
        <f>HYPERLINK("https://klasma.github.io/Logging_0860/fåglar/A 73465-2021 prioriterade fågelarter.docx", "A 73465-2021")</f>
        <v/>
      </c>
    </row>
    <row r="16" ht="15" customHeight="1">
      <c r="A16" t="inlineStr">
        <is>
          <t>A 22933-2025</t>
        </is>
      </c>
      <c r="B16" t="inlineStr">
        <is>
          <t>avverkningsanmälan</t>
        </is>
      </c>
      <c r="C16" t="inlineStr">
        <is>
          <t>Föryngringsavverkning</t>
        </is>
      </c>
      <c r="D16" s="1" t="n">
        <v>45790</v>
      </c>
      <c r="E16" s="1" t="n">
        <v>46221</v>
      </c>
      <c r="F16" t="inlineStr">
        <is>
          <t>KALMAR LÄN</t>
        </is>
      </c>
      <c r="G16" t="inlineStr">
        <is>
          <t>HULTSFRED</t>
        </is>
      </c>
      <c r="I16" t="n">
        <v>2.3</v>
      </c>
      <c r="J16" t="n">
        <v>2</v>
      </c>
      <c r="K16" t="n">
        <v>1</v>
      </c>
      <c r="L16" t="n">
        <v>1</v>
      </c>
      <c r="M16" t="n">
        <v>2</v>
      </c>
      <c r="N16" t="n">
        <v>1</v>
      </c>
      <c r="O16" t="n">
        <v>0</v>
      </c>
      <c r="P16" t="n">
        <v>0</v>
      </c>
      <c r="Q16" t="n">
        <v>4</v>
      </c>
      <c r="R16" t="n">
        <v>3</v>
      </c>
      <c r="S16" t="n">
        <v>7</v>
      </c>
      <c r="T16" t="n">
        <v>7</v>
      </c>
      <c r="U16" s="2" t="inlineStr">
        <is>
          <t>Ask
Knärot
Mindre bastardsvärmare
Mindre tåtelsmygare
Guldlockmossa
Ängskovall
Gullviva</t>
        </is>
      </c>
      <c r="V16">
        <f>HYPERLINK("https://klasma.github.io/Logging_0860/artfynd/A 22933-2025 artfynd.xlsx", "A 22933-2025")</f>
        <v/>
      </c>
      <c r="W16">
        <f>HYPERLINK("https://klasma.github.io/Logging_0860/kartor/A 22933-2025 karta.png", "A 22933-2025")</f>
        <v/>
      </c>
      <c r="X16">
        <f>HYPERLINK("https://klasma.github.io/Logging_0860/knärot/A 22933-2025 karta knärot.png", "A 22933-2025")</f>
        <v/>
      </c>
      <c r="Y16">
        <f>HYPERLINK("https://klasma.github.io/Logging_0860/klagomål/A 22933-2025 FSC-klagomål.docx", "A 22933-2025")</f>
        <v/>
      </c>
      <c r="Z16">
        <f>HYPERLINK("https://klasma.github.io/Logging_0860/klagomålsmail/A 22933-2025 FSC-klagomål mail.docx", "A 22933-2025")</f>
        <v/>
      </c>
      <c r="AA16">
        <f>HYPERLINK("https://klasma.github.io/Logging_0860/tillsyn/A 22933-2025 tillsynsbegäran.docx", "A 22933-2025")</f>
        <v/>
      </c>
      <c r="AB16">
        <f>HYPERLINK("https://klasma.github.io/Logging_0860/tillsynsmail/A 22933-2025 tillsynsbegäran mail.docx", "A 22933-2025")</f>
        <v/>
      </c>
    </row>
    <row r="17" ht="15" customHeight="1">
      <c r="A17" t="inlineStr">
        <is>
          <t>A 37626-2024</t>
        </is>
      </c>
      <c r="B17" t="inlineStr">
        <is>
          <t>avverkningsanmälan</t>
        </is>
      </c>
      <c r="C17" t="inlineStr">
        <is>
          <t>Föryngringsavverkning</t>
        </is>
      </c>
      <c r="D17" s="1" t="n">
        <v>45541</v>
      </c>
      <c r="E17" s="1" t="n">
        <v>46221</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s="2" t="inlineStr">
        <is>
          <t>Knärot
Ryl
Dropptaggsvamp
Svinrot
Talltita
Blåsippa
Spillkråka</t>
        </is>
      </c>
      <c r="V17">
        <f>HYPERLINK("https://klasma.github.io/Logging_0860/artfynd/A 37626-2024 artfynd.xlsx", "A 37626-2024")</f>
        <v/>
      </c>
      <c r="W17">
        <f>HYPERLINK("https://klasma.github.io/Logging_0860/kartor/A 37626-2024 karta.png", "A 37626-2024")</f>
        <v/>
      </c>
      <c r="X17">
        <f>HYPERLINK("https://klasma.github.io/Logging_0860/knärot/A 37626-2024 karta knärot.png", "A 37626-2024")</f>
        <v/>
      </c>
      <c r="Y17">
        <f>HYPERLINK("https://klasma.github.io/Logging_0860/klagomål/A 37626-2024 FSC-klagomål.docx", "A 37626-2024")</f>
        <v/>
      </c>
      <c r="Z17">
        <f>HYPERLINK("https://klasma.github.io/Logging_0860/klagomålsmail/A 37626-2024 FSC-klagomål mail.docx", "A 37626-2024")</f>
        <v/>
      </c>
      <c r="AA17">
        <f>HYPERLINK("https://klasma.github.io/Logging_0860/tillsyn/A 37626-2024 tillsynsbegäran.docx", "A 37626-2024")</f>
        <v/>
      </c>
      <c r="AB17">
        <f>HYPERLINK("https://klasma.github.io/Logging_0860/tillsynsmail/A 37626-2024 tillsynsbegäran mail.docx", "A 37626-2024")</f>
        <v/>
      </c>
      <c r="AC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46221</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HYPERLINK("https://klasma.github.io/Logging_0860/knärot/A 15170-2024 karta knärot.png", "A 15170-2024")</f>
        <v/>
      </c>
      <c r="Y18">
        <f>HYPERLINK("https://klasma.github.io/Logging_0860/klagomål/A 15170-2024 FSC-klagomål.docx", "A 15170-2024")</f>
        <v/>
      </c>
      <c r="Z18">
        <f>HYPERLINK("https://klasma.github.io/Logging_0860/klagomålsmail/A 15170-2024 FSC-klagomål mail.docx", "A 15170-2024")</f>
        <v/>
      </c>
      <c r="AA18">
        <f>HYPERLINK("https://klasma.github.io/Logging_0860/tillsyn/A 15170-2024 tillsynsbegäran.docx", "A 15170-2024")</f>
        <v/>
      </c>
      <c r="AB18">
        <f>HYPERLINK("https://klasma.github.io/Logging_0860/tillsynsmail/A 15170-2024 tillsynsbegäran mail.docx", "A 15170-2024")</f>
        <v/>
      </c>
      <c r="AC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46221</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46221</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46221</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46221</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s="2" t="inlineStr">
        <is>
          <t>Gulsparv
Mindre hackspett
Spillkråka
Kungsfågel
Ärtsångare</t>
        </is>
      </c>
      <c r="V22">
        <f>HYPERLINK("https://klasma.github.io/Logging_0860/artfynd/A 25776-2024 artfynd.xlsx", "A 25776-2024")</f>
        <v/>
      </c>
      <c r="W22">
        <f>HYPERLINK("https://klasma.github.io/Logging_0860/kartor/A 25776-2024 karta.png", "A 25776-2024")</f>
        <v/>
      </c>
      <c r="Y22">
        <f>HYPERLINK("https://klasma.github.io/Logging_0860/klagomål/A 25776-2024 FSC-klagomål.docx", "A 25776-2024")</f>
        <v/>
      </c>
      <c r="Z22">
        <f>HYPERLINK("https://klasma.github.io/Logging_0860/klagomålsmail/A 25776-2024 FSC-klagomål mail.docx", "A 25776-2024")</f>
        <v/>
      </c>
      <c r="AA22">
        <f>HYPERLINK("https://klasma.github.io/Logging_0860/tillsyn/A 25776-2024 tillsynsbegäran.docx", "A 25776-2024")</f>
        <v/>
      </c>
      <c r="AB22">
        <f>HYPERLINK("https://klasma.github.io/Logging_0860/tillsynsmail/A 25776-2024 tillsynsbegäran mail.docx", "A 25776-2024")</f>
        <v/>
      </c>
      <c r="AC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46221</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s="2" t="inlineStr">
        <is>
          <t>Knärot
Grönsångare
Grovticka
Spillkråka
Gullviva</t>
        </is>
      </c>
      <c r="V23">
        <f>HYPERLINK("https://klasma.github.io/Logging_0860/artfynd/A 15094-2024 artfynd.xlsx", "A 15094-2024")</f>
        <v/>
      </c>
      <c r="W23">
        <f>HYPERLINK("https://klasma.github.io/Logging_0860/kartor/A 15094-2024 karta.png", "A 15094-2024")</f>
        <v/>
      </c>
      <c r="X23">
        <f>HYPERLINK("https://klasma.github.io/Logging_0860/knärot/A 15094-2024 karta knärot.png", "A 15094-2024")</f>
        <v/>
      </c>
      <c r="Y23">
        <f>HYPERLINK("https://klasma.github.io/Logging_0860/klagomål/A 15094-2024 FSC-klagomål.docx", "A 15094-2024")</f>
        <v/>
      </c>
      <c r="Z23">
        <f>HYPERLINK("https://klasma.github.io/Logging_0860/klagomålsmail/A 15094-2024 FSC-klagomål mail.docx", "A 15094-2024")</f>
        <v/>
      </c>
      <c r="AA23">
        <f>HYPERLINK("https://klasma.github.io/Logging_0860/tillsyn/A 15094-2024 tillsynsbegäran.docx", "A 15094-2024")</f>
        <v/>
      </c>
      <c r="AB23">
        <f>HYPERLINK("https://klasma.github.io/Logging_0860/tillsynsmail/A 15094-2024 tillsynsbegäran mail.docx", "A 15094-2024")</f>
        <v/>
      </c>
      <c r="AC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46221</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s="2" t="inlineStr">
        <is>
          <t>Knärot
Slåttergubbe
Slåttergubbemal
Skarp dropptaggsvamp
Blåsippa</t>
        </is>
      </c>
      <c r="V24">
        <f>HYPERLINK("https://klasma.github.io/Logging_0860/artfynd/A 13006-2024 artfynd.xlsx", "A 13006-2024")</f>
        <v/>
      </c>
      <c r="W24">
        <f>HYPERLINK("https://klasma.github.io/Logging_0860/kartor/A 13006-2024 karta.png", "A 13006-2024")</f>
        <v/>
      </c>
      <c r="X24">
        <f>HYPERLINK("https://klasma.github.io/Logging_0860/knärot/A 13006-2024 karta knärot.png", "A 13006-2024")</f>
        <v/>
      </c>
      <c r="Y24">
        <f>HYPERLINK("https://klasma.github.io/Logging_0860/klagomål/A 13006-2024 FSC-klagomål.docx", "A 13006-2024")</f>
        <v/>
      </c>
      <c r="Z24">
        <f>HYPERLINK("https://klasma.github.io/Logging_0860/klagomålsmail/A 13006-2024 FSC-klagomål mail.docx", "A 13006-2024")</f>
        <v/>
      </c>
      <c r="AA24">
        <f>HYPERLINK("https://klasma.github.io/Logging_0860/tillsyn/A 13006-2024 tillsynsbegäran.docx", "A 13006-2024")</f>
        <v/>
      </c>
      <c r="AB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46221</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s="2" t="inlineStr">
        <is>
          <t>Knärot
Talltita
Grönpyrola
Blåsippa
Spillkråka</t>
        </is>
      </c>
      <c r="V25">
        <f>HYPERLINK("https://klasma.github.io/Logging_0860/artfynd/A 10673-2024 artfynd.xlsx", "A 10673-2024")</f>
        <v/>
      </c>
      <c r="W25">
        <f>HYPERLINK("https://klasma.github.io/Logging_0860/kartor/A 10673-2024 karta.png", "A 10673-2024")</f>
        <v/>
      </c>
      <c r="X25">
        <f>HYPERLINK("https://klasma.github.io/Logging_0860/knärot/A 10673-2024 karta knärot.png", "A 10673-2024")</f>
        <v/>
      </c>
      <c r="Y25">
        <f>HYPERLINK("https://klasma.github.io/Logging_0860/klagomål/A 10673-2024 FSC-klagomål.docx", "A 10673-2024")</f>
        <v/>
      </c>
      <c r="Z25">
        <f>HYPERLINK("https://klasma.github.io/Logging_0860/klagomålsmail/A 10673-2024 FSC-klagomål mail.docx", "A 10673-2024")</f>
        <v/>
      </c>
      <c r="AA25">
        <f>HYPERLINK("https://klasma.github.io/Logging_0860/tillsyn/A 10673-2024 tillsynsbegäran.docx", "A 10673-2024")</f>
        <v/>
      </c>
      <c r="AB25">
        <f>HYPERLINK("https://klasma.github.io/Logging_0860/tillsynsmail/A 10673-2024 tillsynsbegäran mail.docx", "A 10673-2024")</f>
        <v/>
      </c>
      <c r="AC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46221</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s="2" t="inlineStr">
        <is>
          <t>Brunlångöra
Fransfladdermus
Nordfladdermus
Dvärgpipistrell
Vattenfladdermus</t>
        </is>
      </c>
      <c r="V26">
        <f>HYPERLINK("https://klasma.github.io/Logging_0860/artfynd/A 40302-2022 artfynd.xlsx", "A 40302-2022")</f>
        <v/>
      </c>
      <c r="W26">
        <f>HYPERLINK("https://klasma.github.io/Logging_0860/kartor/A 40302-2022 karta.png", "A 40302-2022")</f>
        <v/>
      </c>
      <c r="Y26">
        <f>HYPERLINK("https://klasma.github.io/Logging_0860/klagomål/A 40302-2022 FSC-klagomål.docx", "A 40302-2022")</f>
        <v/>
      </c>
      <c r="Z26">
        <f>HYPERLINK("https://klasma.github.io/Logging_0860/klagomålsmail/A 40302-2022 FSC-klagomål mail.docx", "A 40302-2022")</f>
        <v/>
      </c>
      <c r="AA26">
        <f>HYPERLINK("https://klasma.github.io/Logging_0860/tillsyn/A 40302-2022 tillsynsbegäran.docx", "A 40302-2022")</f>
        <v/>
      </c>
      <c r="AB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46221</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46221</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46221</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46221</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s="2" t="inlineStr">
        <is>
          <t>Grönsångare
Ekskinn
Klippfrullania</t>
        </is>
      </c>
      <c r="V30">
        <f>HYPERLINK("https://klasma.github.io/Logging_0860/artfynd/A 15110-2024 artfynd.xlsx", "A 15110-2024")</f>
        <v/>
      </c>
      <c r="W30">
        <f>HYPERLINK("https://klasma.github.io/Logging_0860/kartor/A 15110-2024 karta.png", "A 15110-2024")</f>
        <v/>
      </c>
      <c r="Y30">
        <f>HYPERLINK("https://klasma.github.io/Logging_0860/klagomål/A 15110-2024 FSC-klagomål.docx", "A 15110-2024")</f>
        <v/>
      </c>
      <c r="Z30">
        <f>HYPERLINK("https://klasma.github.io/Logging_0860/klagomålsmail/A 15110-2024 FSC-klagomål mail.docx", "A 15110-2024")</f>
        <v/>
      </c>
      <c r="AA30">
        <f>HYPERLINK("https://klasma.github.io/Logging_0860/tillsyn/A 15110-2024 tillsynsbegäran.docx", "A 15110-2024")</f>
        <v/>
      </c>
      <c r="AB30">
        <f>HYPERLINK("https://klasma.github.io/Logging_0860/tillsynsmail/A 15110-2024 tillsynsbegäran mail.docx", "A 15110-2024")</f>
        <v/>
      </c>
      <c r="AC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46221</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s="2" t="inlineStr">
        <is>
          <t>Murgröna
Skogsödla
Revlummer</t>
        </is>
      </c>
      <c r="V31">
        <f>HYPERLINK("https://klasma.github.io/Logging_0860/artfynd/A 35517-2023 artfynd.xlsx", "A 35517-2023")</f>
        <v/>
      </c>
      <c r="W31">
        <f>HYPERLINK("https://klasma.github.io/Logging_0860/kartor/A 35517-2023 karta.png", "A 35517-2023")</f>
        <v/>
      </c>
      <c r="Y31">
        <f>HYPERLINK("https://klasma.github.io/Logging_0860/klagomål/A 35517-2023 FSC-klagomål.docx", "A 35517-2023")</f>
        <v/>
      </c>
      <c r="Z31">
        <f>HYPERLINK("https://klasma.github.io/Logging_0860/klagomålsmail/A 35517-2023 FSC-klagomål mail.docx", "A 35517-2023")</f>
        <v/>
      </c>
      <c r="AA31">
        <f>HYPERLINK("https://klasma.github.io/Logging_0860/tillsyn/A 35517-2023 tillsynsbegäran.docx", "A 35517-2023")</f>
        <v/>
      </c>
      <c r="AB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46221</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s="2" t="inlineStr">
        <is>
          <t>Ekticka
Sädesärla
Grönvit nattviol</t>
        </is>
      </c>
      <c r="V32">
        <f>HYPERLINK("https://klasma.github.io/Logging_0860/artfynd/A 44562-2025 artfynd.xlsx", "A 44562-2025")</f>
        <v/>
      </c>
      <c r="W32">
        <f>HYPERLINK("https://klasma.github.io/Logging_0860/kartor/A 44562-2025 karta.png", "A 44562-2025")</f>
        <v/>
      </c>
      <c r="Y32">
        <f>HYPERLINK("https://klasma.github.io/Logging_0860/klagomål/A 44562-2025 FSC-klagomål.docx", "A 44562-2025")</f>
        <v/>
      </c>
      <c r="Z32">
        <f>HYPERLINK("https://klasma.github.io/Logging_0860/klagomålsmail/A 44562-2025 FSC-klagomål mail.docx", "A 44562-2025")</f>
        <v/>
      </c>
      <c r="AA32">
        <f>HYPERLINK("https://klasma.github.io/Logging_0860/tillsyn/A 44562-2025 tillsynsbegäran.docx", "A 44562-2025")</f>
        <v/>
      </c>
      <c r="AB32">
        <f>HYPERLINK("https://klasma.github.io/Logging_0860/tillsynsmail/A 44562-2025 tillsynsbegäran mail.docx", "A 44562-2025")</f>
        <v/>
      </c>
      <c r="AC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46221</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s="2" t="inlineStr">
        <is>
          <t>Slåttergubbe
Jungfrulin
Skogshare</t>
        </is>
      </c>
      <c r="V33">
        <f>HYPERLINK("https://klasma.github.io/Logging_0860/artfynd/A 53899-2025 artfynd.xlsx", "A 53899-2025")</f>
        <v/>
      </c>
      <c r="W33">
        <f>HYPERLINK("https://klasma.github.io/Logging_0860/kartor/A 53899-2025 karta.png", "A 53899-2025")</f>
        <v/>
      </c>
      <c r="Y33">
        <f>HYPERLINK("https://klasma.github.io/Logging_0860/klagomål/A 53899-2025 FSC-klagomål.docx", "A 53899-2025")</f>
        <v/>
      </c>
      <c r="Z33">
        <f>HYPERLINK("https://klasma.github.io/Logging_0860/klagomålsmail/A 53899-2025 FSC-klagomål mail.docx", "A 53899-2025")</f>
        <v/>
      </c>
      <c r="AA33">
        <f>HYPERLINK("https://klasma.github.io/Logging_0860/tillsyn/A 53899-2025 tillsynsbegäran.docx", "A 53899-2025")</f>
        <v/>
      </c>
      <c r="AB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46221</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s="2" t="inlineStr">
        <is>
          <t>Kungsfågel
Skogsduva
Svartvit flugsnappare</t>
        </is>
      </c>
      <c r="V34">
        <f>HYPERLINK("https://klasma.github.io/Logging_0860/artfynd/A 58031-2025 artfynd.xlsx", "A 58031-2025")</f>
        <v/>
      </c>
      <c r="W34">
        <f>HYPERLINK("https://klasma.github.io/Logging_0860/kartor/A 58031-2025 karta.png", "A 58031-2025")</f>
        <v/>
      </c>
      <c r="Y34">
        <f>HYPERLINK("https://klasma.github.io/Logging_0860/klagomål/A 58031-2025 FSC-klagomål.docx", "A 58031-2025")</f>
        <v/>
      </c>
      <c r="Z34">
        <f>HYPERLINK("https://klasma.github.io/Logging_0860/klagomålsmail/A 58031-2025 FSC-klagomål mail.docx", "A 58031-2025")</f>
        <v/>
      </c>
      <c r="AA34">
        <f>HYPERLINK("https://klasma.github.io/Logging_0860/tillsyn/A 58031-2025 tillsynsbegäran.docx", "A 58031-2025")</f>
        <v/>
      </c>
      <c r="AB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46221</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s="2" t="inlineStr">
        <is>
          <t>Vedskivlav
Grön sköldmossa
Blåsippa</t>
        </is>
      </c>
      <c r="V35">
        <f>HYPERLINK("https://klasma.github.io/Logging_0860/artfynd/A 53295-2021 artfynd.xlsx", "A 53295-2021")</f>
        <v/>
      </c>
      <c r="W35">
        <f>HYPERLINK("https://klasma.github.io/Logging_0860/kartor/A 53295-2021 karta.png", "A 53295-2021")</f>
        <v/>
      </c>
      <c r="Y35">
        <f>HYPERLINK("https://klasma.github.io/Logging_0860/klagomål/A 53295-2021 FSC-klagomål.docx", "A 53295-2021")</f>
        <v/>
      </c>
      <c r="Z35">
        <f>HYPERLINK("https://klasma.github.io/Logging_0860/klagomålsmail/A 53295-2021 FSC-klagomål mail.docx", "A 53295-2021")</f>
        <v/>
      </c>
      <c r="AA35">
        <f>HYPERLINK("https://klasma.github.io/Logging_0860/tillsyn/A 53295-2021 tillsynsbegäran.docx", "A 53295-2021")</f>
        <v/>
      </c>
      <c r="AB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46221</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46221</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s="2" t="inlineStr">
        <is>
          <t>Dropptaggsvamp
Grönpyrola</t>
        </is>
      </c>
      <c r="V37">
        <f>HYPERLINK("https://klasma.github.io/Logging_0860/artfynd/A 59067-2021 artfynd.xlsx", "A 59067-2021")</f>
        <v/>
      </c>
      <c r="W37">
        <f>HYPERLINK("https://klasma.github.io/Logging_0860/kartor/A 59067-2021 karta.png", "A 59067-2021")</f>
        <v/>
      </c>
      <c r="Y37">
        <f>HYPERLINK("https://klasma.github.io/Logging_0860/klagomål/A 59067-2021 FSC-klagomål.docx", "A 59067-2021")</f>
        <v/>
      </c>
      <c r="Z37">
        <f>HYPERLINK("https://klasma.github.io/Logging_0860/klagomålsmail/A 59067-2021 FSC-klagomål mail.docx", "A 59067-2021")</f>
        <v/>
      </c>
      <c r="AA37">
        <f>HYPERLINK("https://klasma.github.io/Logging_0860/tillsyn/A 59067-2021 tillsynsbegäran.docx", "A 59067-2021")</f>
        <v/>
      </c>
      <c r="AB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46221</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s="2" t="inlineStr">
        <is>
          <t>Talltita
Blåsippa</t>
        </is>
      </c>
      <c r="V38">
        <f>HYPERLINK("https://klasma.github.io/Logging_0860/artfynd/A 3312-2026 artfynd.xlsx", "A 3312-2026")</f>
        <v/>
      </c>
      <c r="W38">
        <f>HYPERLINK("https://klasma.github.io/Logging_0860/kartor/A 3312-2026 karta.png", "A 3312-2026")</f>
        <v/>
      </c>
      <c r="Y38">
        <f>HYPERLINK("https://klasma.github.io/Logging_0860/klagomål/A 3312-2026 FSC-klagomål.docx", "A 3312-2026")</f>
        <v/>
      </c>
      <c r="Z38">
        <f>HYPERLINK("https://klasma.github.io/Logging_0860/klagomålsmail/A 3312-2026 FSC-klagomål mail.docx", "A 3312-2026")</f>
        <v/>
      </c>
      <c r="AA38">
        <f>HYPERLINK("https://klasma.github.io/Logging_0860/tillsyn/A 3312-2026 tillsynsbegäran.docx", "A 3312-2026")</f>
        <v/>
      </c>
      <c r="AB38">
        <f>HYPERLINK("https://klasma.github.io/Logging_0860/tillsynsmail/A 3312-2026 tillsynsbegäran mail.docx", "A 3312-2026")</f>
        <v/>
      </c>
      <c r="AC38">
        <f>HYPERLINK("https://klasma.github.io/Logging_0860/fåglar/A 3312-2026 prioriterade fågelarter.docx", "A 3312-2026")</f>
        <v/>
      </c>
    </row>
    <row r="39" ht="15" customHeight="1">
      <c r="A39" t="inlineStr">
        <is>
          <t>A 27527-2025</t>
        </is>
      </c>
      <c r="B39" t="inlineStr">
        <is>
          <t>avverkningsanmälan</t>
        </is>
      </c>
      <c r="C39" t="inlineStr">
        <is>
          <t>Föryngringsavverkning</t>
        </is>
      </c>
      <c r="D39" s="1" t="n">
        <v>45813</v>
      </c>
      <c r="E39" s="1" t="n">
        <v>46221</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s="2" t="inlineStr">
        <is>
          <t>Nattskärra
Tjäder</t>
        </is>
      </c>
      <c r="V39">
        <f>HYPERLINK("https://klasma.github.io/Logging_0860/artfynd/A 27527-2025 artfynd.xlsx", "A 27527-2025")</f>
        <v/>
      </c>
      <c r="W39">
        <f>HYPERLINK("https://klasma.github.io/Logging_0860/kartor/A 27527-2025 karta.png", "A 27527-2025")</f>
        <v/>
      </c>
      <c r="Y39">
        <f>HYPERLINK("https://klasma.github.io/Logging_0860/klagomål/A 27527-2025 FSC-klagomål.docx", "A 27527-2025")</f>
        <v/>
      </c>
      <c r="Z39">
        <f>HYPERLINK("https://klasma.github.io/Logging_0860/klagomålsmail/A 27527-2025 FSC-klagomål mail.docx", "A 27527-2025")</f>
        <v/>
      </c>
      <c r="AA39">
        <f>HYPERLINK("https://klasma.github.io/Logging_0860/tillsyn/A 27527-2025 tillsynsbegäran.docx", "A 27527-2025")</f>
        <v/>
      </c>
      <c r="AB39">
        <f>HYPERLINK("https://klasma.github.io/Logging_0860/tillsynsmail/A 27527-2025 tillsynsbegäran mail.docx", "A 27527-2025")</f>
        <v/>
      </c>
      <c r="AC39">
        <f>HYPERLINK("https://klasma.github.io/Logging_0860/fåglar/A 27527-2025 prioriterade fågelarter.docx", "A 27527-2025")</f>
        <v/>
      </c>
    </row>
    <row r="40" ht="15" customHeight="1">
      <c r="A40" t="inlineStr">
        <is>
          <t>A 10998-2025</t>
        </is>
      </c>
      <c r="B40" t="inlineStr">
        <is>
          <t>avverkningsanmälan</t>
        </is>
      </c>
      <c r="C40" t="inlineStr">
        <is>
          <t>Föryngringsavverkning</t>
        </is>
      </c>
      <c r="D40" s="1" t="n">
        <v>45723</v>
      </c>
      <c r="E40" s="1" t="n">
        <v>46221</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s="2" t="inlineStr">
        <is>
          <t>Grönsångare
Spillkråka</t>
        </is>
      </c>
      <c r="V40">
        <f>HYPERLINK("https://klasma.github.io/Logging_0860/artfynd/A 10998-2025 artfynd.xlsx", "A 10998-2025")</f>
        <v/>
      </c>
      <c r="W40">
        <f>HYPERLINK("https://klasma.github.io/Logging_0860/kartor/A 10998-2025 karta.png", "A 10998-2025")</f>
        <v/>
      </c>
      <c r="Y40">
        <f>HYPERLINK("https://klasma.github.io/Logging_0860/klagomål/A 10998-2025 FSC-klagomål.docx", "A 10998-2025")</f>
        <v/>
      </c>
      <c r="Z40">
        <f>HYPERLINK("https://klasma.github.io/Logging_0860/klagomålsmail/A 10998-2025 FSC-klagomål mail.docx", "A 10998-2025")</f>
        <v/>
      </c>
      <c r="AA40">
        <f>HYPERLINK("https://klasma.github.io/Logging_0860/tillsyn/A 10998-2025 tillsynsbegäran.docx", "A 10998-2025")</f>
        <v/>
      </c>
      <c r="AB40">
        <f>HYPERLINK("https://klasma.github.io/Logging_0860/tillsynsmail/A 10998-2025 tillsynsbegäran mail.docx", "A 10998-2025")</f>
        <v/>
      </c>
      <c r="AC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46221</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s="2" t="inlineStr">
        <is>
          <t>Backsippa
Mörk dunört</t>
        </is>
      </c>
      <c r="V41">
        <f>HYPERLINK("https://klasma.github.io/Logging_0860/artfynd/A 31046-2023 artfynd.xlsx", "A 31046-2023")</f>
        <v/>
      </c>
      <c r="W41">
        <f>HYPERLINK("https://klasma.github.io/Logging_0860/kartor/A 31046-2023 karta.png", "A 31046-2023")</f>
        <v/>
      </c>
      <c r="Y41">
        <f>HYPERLINK("https://klasma.github.io/Logging_0860/klagomål/A 31046-2023 FSC-klagomål.docx", "A 31046-2023")</f>
        <v/>
      </c>
      <c r="Z41">
        <f>HYPERLINK("https://klasma.github.io/Logging_0860/klagomålsmail/A 31046-2023 FSC-klagomål mail.docx", "A 31046-2023")</f>
        <v/>
      </c>
      <c r="AA41">
        <f>HYPERLINK("https://klasma.github.io/Logging_0860/tillsyn/A 31046-2023 tillsynsbegäran.docx", "A 31046-2023")</f>
        <v/>
      </c>
      <c r="AB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46221</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s="2" t="inlineStr">
        <is>
          <t>Spillkråka
Tjäder</t>
        </is>
      </c>
      <c r="V42">
        <f>HYPERLINK("https://klasma.github.io/Logging_0860/artfynd/A 4964-2025 artfynd.xlsx", "A 4964-2025")</f>
        <v/>
      </c>
      <c r="W42">
        <f>HYPERLINK("https://klasma.github.io/Logging_0860/kartor/A 4964-2025 karta.png", "A 4964-2025")</f>
        <v/>
      </c>
      <c r="Y42">
        <f>HYPERLINK("https://klasma.github.io/Logging_0860/klagomål/A 4964-2025 FSC-klagomål.docx", "A 4964-2025")</f>
        <v/>
      </c>
      <c r="Z42">
        <f>HYPERLINK("https://klasma.github.io/Logging_0860/klagomålsmail/A 4964-2025 FSC-klagomål mail.docx", "A 4964-2025")</f>
        <v/>
      </c>
      <c r="AA42">
        <f>HYPERLINK("https://klasma.github.io/Logging_0860/tillsyn/A 4964-2025 tillsynsbegäran.docx", "A 4964-2025")</f>
        <v/>
      </c>
      <c r="AB42">
        <f>HYPERLINK("https://klasma.github.io/Logging_0860/tillsynsmail/A 4964-2025 tillsynsbegäran mail.docx", "A 4964-2025")</f>
        <v/>
      </c>
      <c r="AC42">
        <f>HYPERLINK("https://klasma.github.io/Logging_0860/fåglar/A 4964-2025 prioriterade fågelarter.docx", "A 4964-2025")</f>
        <v/>
      </c>
    </row>
    <row r="43" ht="15" customHeight="1">
      <c r="A43" t="inlineStr">
        <is>
          <t>A 11406-2026</t>
        </is>
      </c>
      <c r="B43" t="inlineStr">
        <is>
          <t>avverkningsanmälan</t>
        </is>
      </c>
      <c r="C43" t="inlineStr">
        <is>
          <t>Föryngringsavverkning</t>
        </is>
      </c>
      <c r="D43" s="1" t="n">
        <v>46083</v>
      </c>
      <c r="E43" s="1" t="n">
        <v>46221</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s="2" t="inlineStr">
        <is>
          <t>Knärot
Tallticka</t>
        </is>
      </c>
      <c r="V43">
        <f>HYPERLINK("https://klasma.github.io/Logging_0860/artfynd/A 11406-2026 artfynd.xlsx", "A 11406-2026")</f>
        <v/>
      </c>
      <c r="W43">
        <f>HYPERLINK("https://klasma.github.io/Logging_0860/kartor/A 11406-2026 karta.png", "A 11406-2026")</f>
        <v/>
      </c>
      <c r="X43">
        <f>HYPERLINK("https://klasma.github.io/Logging_0860/knärot/A 11406-2026 karta knärot.png", "A 11406-2026")</f>
        <v/>
      </c>
      <c r="Y43">
        <f>HYPERLINK("https://klasma.github.io/Logging_0860/klagomål/A 11406-2026 FSC-klagomål.docx", "A 11406-2026")</f>
        <v/>
      </c>
      <c r="Z43">
        <f>HYPERLINK("https://klasma.github.io/Logging_0860/klagomålsmail/A 11406-2026 FSC-klagomål mail.docx", "A 11406-2026")</f>
        <v/>
      </c>
      <c r="AA43">
        <f>HYPERLINK("https://klasma.github.io/Logging_0860/tillsyn/A 11406-2026 tillsynsbegäran.docx", "A 11406-2026")</f>
        <v/>
      </c>
      <c r="AB43">
        <f>HYPERLINK("https://klasma.github.io/Logging_0860/tillsynsmail/A 11406-2026 tillsynsbegäran mail.docx", "A 11406-2026")</f>
        <v/>
      </c>
    </row>
    <row r="44" ht="15" customHeight="1">
      <c r="A44" t="inlineStr">
        <is>
          <t>A 16884-2025</t>
        </is>
      </c>
      <c r="B44" t="inlineStr">
        <is>
          <t>avverkningsanmälan</t>
        </is>
      </c>
      <c r="C44" t="inlineStr">
        <is>
          <t>Avverkning för att bevara och utveckla /försöksver</t>
        </is>
      </c>
      <c r="D44" s="1" t="n">
        <v>45755</v>
      </c>
      <c r="E44" s="1" t="n">
        <v>46221</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s="2" t="inlineStr">
        <is>
          <t>Åkerrödtoppa
Vanlig snok</t>
        </is>
      </c>
      <c r="V44">
        <f>HYPERLINK("https://klasma.github.io/Logging_0860/artfynd/A 16884-2025 artfynd.xlsx", "A 16884-2025")</f>
        <v/>
      </c>
      <c r="W44">
        <f>HYPERLINK("https://klasma.github.io/Logging_0860/kartor/A 16884-2025 karta.png", "A 16884-2025")</f>
        <v/>
      </c>
      <c r="Y44">
        <f>HYPERLINK("https://klasma.github.io/Logging_0860/klagomål/A 16884-2025 FSC-klagomål.docx", "A 16884-2025")</f>
        <v/>
      </c>
      <c r="Z44">
        <f>HYPERLINK("https://klasma.github.io/Logging_0860/klagomålsmail/A 16884-2025 FSC-klagomål mail.docx", "A 16884-2025")</f>
        <v/>
      </c>
      <c r="AA44">
        <f>HYPERLINK("https://klasma.github.io/Logging_0860/tillsyn/A 16884-2025 tillsynsbegäran.docx", "A 16884-2025")</f>
        <v/>
      </c>
      <c r="AB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46221</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s="2" t="inlineStr">
        <is>
          <t>Aspelandsfibbla
Källmossa</t>
        </is>
      </c>
      <c r="V45">
        <f>HYPERLINK("https://klasma.github.io/Logging_0860/artfynd/A 65529-2021 artfynd.xlsx", "A 65529-2021")</f>
        <v/>
      </c>
      <c r="W45">
        <f>HYPERLINK("https://klasma.github.io/Logging_0860/kartor/A 65529-2021 karta.png", "A 65529-2021")</f>
        <v/>
      </c>
      <c r="Y45">
        <f>HYPERLINK("https://klasma.github.io/Logging_0860/klagomål/A 65529-2021 FSC-klagomål.docx", "A 65529-2021")</f>
        <v/>
      </c>
      <c r="Z45">
        <f>HYPERLINK("https://klasma.github.io/Logging_0860/klagomålsmail/A 65529-2021 FSC-klagomål mail.docx", "A 65529-2021")</f>
        <v/>
      </c>
      <c r="AA45">
        <f>HYPERLINK("https://klasma.github.io/Logging_0860/tillsyn/A 65529-2021 tillsynsbegäran.docx", "A 65529-2021")</f>
        <v/>
      </c>
      <c r="AB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46221</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11002-2025 artfynd.xlsx", "A 11002-2025")</f>
        <v/>
      </c>
      <c r="W46">
        <f>HYPERLINK("https://klasma.github.io/Logging_0860/kartor/A 11002-2025 karta.png", "A 11002-2025")</f>
        <v/>
      </c>
      <c r="Y46">
        <f>HYPERLINK("https://klasma.github.io/Logging_0860/klagomål/A 11002-2025 FSC-klagomål.docx", "A 11002-2025")</f>
        <v/>
      </c>
      <c r="Z46">
        <f>HYPERLINK("https://klasma.github.io/Logging_0860/klagomålsmail/A 11002-2025 FSC-klagomål mail.docx", "A 11002-2025")</f>
        <v/>
      </c>
      <c r="AA46">
        <f>HYPERLINK("https://klasma.github.io/Logging_0860/tillsyn/A 11002-2025 tillsynsbegäran.docx", "A 11002-2025")</f>
        <v/>
      </c>
      <c r="AB46">
        <f>HYPERLINK("https://klasma.github.io/Logging_0860/tillsynsmail/A 11002-2025 tillsynsbegäran mail.docx", "A 11002-2025")</f>
        <v/>
      </c>
      <c r="AC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46221</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s="2" t="inlineStr">
        <is>
          <t>Dvärgkällmossa
Källmossa</t>
        </is>
      </c>
      <c r="V47">
        <f>HYPERLINK("https://klasma.github.io/Logging_0860/artfynd/A 74390-2021 artfynd.xlsx", "A 74390-2021")</f>
        <v/>
      </c>
      <c r="W47">
        <f>HYPERLINK("https://klasma.github.io/Logging_0860/kartor/A 74390-2021 karta.png", "A 74390-2021")</f>
        <v/>
      </c>
      <c r="Y47">
        <f>HYPERLINK("https://klasma.github.io/Logging_0860/klagomål/A 74390-2021 FSC-klagomål.docx", "A 74390-2021")</f>
        <v/>
      </c>
      <c r="Z47">
        <f>HYPERLINK("https://klasma.github.io/Logging_0860/klagomålsmail/A 74390-2021 FSC-klagomål mail.docx", "A 74390-2021")</f>
        <v/>
      </c>
      <c r="AA47">
        <f>HYPERLINK("https://klasma.github.io/Logging_0860/tillsyn/A 74390-2021 tillsynsbegäran.docx", "A 74390-2021")</f>
        <v/>
      </c>
      <c r="AB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46221</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s="2" t="inlineStr">
        <is>
          <t>Kornig nållav
Sotlav</t>
        </is>
      </c>
      <c r="V48">
        <f>HYPERLINK("https://klasma.github.io/Logging_0860/artfynd/A 55609-2025 artfynd.xlsx", "A 55609-2025")</f>
        <v/>
      </c>
      <c r="W48">
        <f>HYPERLINK("https://klasma.github.io/Logging_0860/kartor/A 55609-2025 karta.png", "A 55609-2025")</f>
        <v/>
      </c>
      <c r="Y48">
        <f>HYPERLINK("https://klasma.github.io/Logging_0860/klagomål/A 55609-2025 FSC-klagomål.docx", "A 55609-2025")</f>
        <v/>
      </c>
      <c r="Z48">
        <f>HYPERLINK("https://klasma.github.io/Logging_0860/klagomålsmail/A 55609-2025 FSC-klagomål mail.docx", "A 55609-2025")</f>
        <v/>
      </c>
      <c r="AA48">
        <f>HYPERLINK("https://klasma.github.io/Logging_0860/tillsyn/A 55609-2025 tillsynsbegäran.docx", "A 55609-2025")</f>
        <v/>
      </c>
      <c r="AB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46221</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s="2" t="inlineStr">
        <is>
          <t>Knärot
Grönpyrola</t>
        </is>
      </c>
      <c r="V49">
        <f>HYPERLINK("https://klasma.github.io/Logging_0860/artfynd/A 61709-2022 artfynd.xlsx", "A 61709-2022")</f>
        <v/>
      </c>
      <c r="W49">
        <f>HYPERLINK("https://klasma.github.io/Logging_0860/kartor/A 61709-2022 karta.png", "A 61709-2022")</f>
        <v/>
      </c>
      <c r="X49">
        <f>HYPERLINK("https://klasma.github.io/Logging_0860/knärot/A 61709-2022 karta knärot.png", "A 61709-2022")</f>
        <v/>
      </c>
      <c r="Y49">
        <f>HYPERLINK("https://klasma.github.io/Logging_0860/klagomål/A 61709-2022 FSC-klagomål.docx", "A 61709-2022")</f>
        <v/>
      </c>
      <c r="Z49">
        <f>HYPERLINK("https://klasma.github.io/Logging_0860/klagomålsmail/A 61709-2022 FSC-klagomål mail.docx", "A 61709-2022")</f>
        <v/>
      </c>
      <c r="AA49">
        <f>HYPERLINK("https://klasma.github.io/Logging_0860/tillsyn/A 61709-2022 tillsynsbegäran.docx", "A 61709-2022")</f>
        <v/>
      </c>
      <c r="AB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46221</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s="2" t="inlineStr">
        <is>
          <t>Stubbspretmossa
Blåsippa</t>
        </is>
      </c>
      <c r="V50">
        <f>HYPERLINK("https://klasma.github.io/Logging_0860/artfynd/A 53862-2022 artfynd.xlsx", "A 53862-2022")</f>
        <v/>
      </c>
      <c r="W50">
        <f>HYPERLINK("https://klasma.github.io/Logging_0860/kartor/A 53862-2022 karta.png", "A 53862-2022")</f>
        <v/>
      </c>
      <c r="Y50">
        <f>HYPERLINK("https://klasma.github.io/Logging_0860/klagomål/A 53862-2022 FSC-klagomål.docx", "A 53862-2022")</f>
        <v/>
      </c>
      <c r="Z50">
        <f>HYPERLINK("https://klasma.github.io/Logging_0860/klagomålsmail/A 53862-2022 FSC-klagomål mail.docx", "A 53862-2022")</f>
        <v/>
      </c>
      <c r="AA50">
        <f>HYPERLINK("https://klasma.github.io/Logging_0860/tillsyn/A 53862-2022 tillsynsbegäran.docx", "A 53862-2022")</f>
        <v/>
      </c>
      <c r="AB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46221</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s="2" t="inlineStr">
        <is>
          <t>Slåtterfibbla
Talltita</t>
        </is>
      </c>
      <c r="V51">
        <f>HYPERLINK("https://klasma.github.io/Logging_0860/artfynd/A 39875-2021 artfynd.xlsx", "A 39875-2021")</f>
        <v/>
      </c>
      <c r="W51">
        <f>HYPERLINK("https://klasma.github.io/Logging_0860/kartor/A 39875-2021 karta.png", "A 39875-2021")</f>
        <v/>
      </c>
      <c r="Y51">
        <f>HYPERLINK("https://klasma.github.io/Logging_0860/klagomål/A 39875-2021 FSC-klagomål.docx", "A 39875-2021")</f>
        <v/>
      </c>
      <c r="Z51">
        <f>HYPERLINK("https://klasma.github.io/Logging_0860/klagomålsmail/A 39875-2021 FSC-klagomål mail.docx", "A 39875-2021")</f>
        <v/>
      </c>
      <c r="AA51">
        <f>HYPERLINK("https://klasma.github.io/Logging_0860/tillsyn/A 39875-2021 tillsynsbegäran.docx", "A 39875-2021")</f>
        <v/>
      </c>
      <c r="AB51">
        <f>HYPERLINK("https://klasma.github.io/Logging_0860/tillsynsmail/A 39875-2021 tillsynsbegäran mail.docx", "A 39875-2021")</f>
        <v/>
      </c>
      <c r="AC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46221</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s="2" t="inlineStr">
        <is>
          <t>Västlig hakmossa
Revlummer</t>
        </is>
      </c>
      <c r="V52">
        <f>HYPERLINK("https://klasma.github.io/Logging_0860/artfynd/A 56554-2022 artfynd.xlsx", "A 56554-2022")</f>
        <v/>
      </c>
      <c r="W52">
        <f>HYPERLINK("https://klasma.github.io/Logging_0860/kartor/A 56554-2022 karta.png", "A 56554-2022")</f>
        <v/>
      </c>
      <c r="Y52">
        <f>HYPERLINK("https://klasma.github.io/Logging_0860/klagomål/A 56554-2022 FSC-klagomål.docx", "A 56554-2022")</f>
        <v/>
      </c>
      <c r="Z52">
        <f>HYPERLINK("https://klasma.github.io/Logging_0860/klagomålsmail/A 56554-2022 FSC-klagomål mail.docx", "A 56554-2022")</f>
        <v/>
      </c>
      <c r="AA52">
        <f>HYPERLINK("https://klasma.github.io/Logging_0860/tillsyn/A 56554-2022 tillsynsbegäran.docx", "A 56554-2022")</f>
        <v/>
      </c>
      <c r="AB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46221</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s="2" t="inlineStr">
        <is>
          <t>Blåsippa
Sångsvan</t>
        </is>
      </c>
      <c r="V53">
        <f>HYPERLINK("https://klasma.github.io/Logging_0860/artfynd/A 7201-2025 artfynd.xlsx", "A 7201-2025")</f>
        <v/>
      </c>
      <c r="W53">
        <f>HYPERLINK("https://klasma.github.io/Logging_0860/kartor/A 7201-2025 karta.png", "A 7201-2025")</f>
        <v/>
      </c>
      <c r="Y53">
        <f>HYPERLINK("https://klasma.github.io/Logging_0860/klagomål/A 7201-2025 FSC-klagomål.docx", "A 7201-2025")</f>
        <v/>
      </c>
      <c r="Z53">
        <f>HYPERLINK("https://klasma.github.io/Logging_0860/klagomålsmail/A 7201-2025 FSC-klagomål mail.docx", "A 7201-2025")</f>
        <v/>
      </c>
      <c r="AA53">
        <f>HYPERLINK("https://klasma.github.io/Logging_0860/tillsyn/A 7201-2025 tillsynsbegäran.docx", "A 7201-2025")</f>
        <v/>
      </c>
      <c r="AB53">
        <f>HYPERLINK("https://klasma.github.io/Logging_0860/tillsynsmail/A 7201-2025 tillsynsbegäran mail.docx", "A 7201-2025")</f>
        <v/>
      </c>
      <c r="AC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46221</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s="2" t="inlineStr">
        <is>
          <t>Gulsparv
Röd glada</t>
        </is>
      </c>
      <c r="V54">
        <f>HYPERLINK("https://klasma.github.io/Logging_0860/artfynd/A 60363-2023 artfynd.xlsx", "A 60363-2023")</f>
        <v/>
      </c>
      <c r="W54">
        <f>HYPERLINK("https://klasma.github.io/Logging_0860/kartor/A 60363-2023 karta.png", "A 60363-2023")</f>
        <v/>
      </c>
      <c r="Y54">
        <f>HYPERLINK("https://klasma.github.io/Logging_0860/klagomål/A 60363-2023 FSC-klagomål.docx", "A 60363-2023")</f>
        <v/>
      </c>
      <c r="Z54">
        <f>HYPERLINK("https://klasma.github.io/Logging_0860/klagomålsmail/A 60363-2023 FSC-klagomål mail.docx", "A 60363-2023")</f>
        <v/>
      </c>
      <c r="AA54">
        <f>HYPERLINK("https://klasma.github.io/Logging_0860/tillsyn/A 60363-2023 tillsynsbegäran.docx", "A 60363-2023")</f>
        <v/>
      </c>
      <c r="AB54">
        <f>HYPERLINK("https://klasma.github.io/Logging_0860/tillsynsmail/A 60363-2023 tillsynsbegäran mail.docx", "A 60363-2023")</f>
        <v/>
      </c>
      <c r="AC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46221</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s="2" t="inlineStr">
        <is>
          <t>Plattlummer
Blåsippa</t>
        </is>
      </c>
      <c r="V55">
        <f>HYPERLINK("https://klasma.github.io/Logging_0860/artfynd/A 57052-2024 artfynd.xlsx", "A 57052-2024")</f>
        <v/>
      </c>
      <c r="W55">
        <f>HYPERLINK("https://klasma.github.io/Logging_0860/kartor/A 57052-2024 karta.png", "A 57052-2024")</f>
        <v/>
      </c>
      <c r="X55">
        <f>HYPERLINK("https://klasma.github.io/Logging_0860/knärot/A 57052-2024 karta knärot.png", "A 57052-2024")</f>
        <v/>
      </c>
      <c r="Y55">
        <f>HYPERLINK("https://klasma.github.io/Logging_0860/klagomål/A 57052-2024 FSC-klagomål.docx", "A 57052-2024")</f>
        <v/>
      </c>
      <c r="Z55">
        <f>HYPERLINK("https://klasma.github.io/Logging_0860/klagomålsmail/A 57052-2024 FSC-klagomål mail.docx", "A 57052-2024")</f>
        <v/>
      </c>
      <c r="AA55">
        <f>HYPERLINK("https://klasma.github.io/Logging_0860/tillsyn/A 57052-2024 tillsynsbegäran.docx", "A 57052-2024")</f>
        <v/>
      </c>
      <c r="AB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46221</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46221</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46221</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46221</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46221</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46221</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46221</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4254-2024</t>
        </is>
      </c>
      <c r="B63" t="inlineStr">
        <is>
          <t>avverkningsanmälan</t>
        </is>
      </c>
      <c r="C63" t="inlineStr">
        <is>
          <t>Föryngringsavverkning</t>
        </is>
      </c>
      <c r="D63" s="1" t="n">
        <v>45324</v>
      </c>
      <c r="E63" s="1" t="n">
        <v>46221</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s="2" t="inlineStr">
        <is>
          <t>Knärot</t>
        </is>
      </c>
      <c r="V63">
        <f>HYPERLINK("https://klasma.github.io/Logging_0860/artfynd/A 4254-2024 artfynd.xlsx", "A 4254-2024")</f>
        <v/>
      </c>
      <c r="W63">
        <f>HYPERLINK("https://klasma.github.io/Logging_0860/kartor/A 4254-2024 karta.png", "A 4254-2024")</f>
        <v/>
      </c>
      <c r="X63">
        <f>HYPERLINK("https://klasma.github.io/Logging_0860/knärot/A 4254-2024 karta knärot.png", "A 4254-2024")</f>
        <v/>
      </c>
      <c r="Y63">
        <f>HYPERLINK("https://klasma.github.io/Logging_0860/klagomål/A 4254-2024 FSC-klagomål.docx", "A 4254-2024")</f>
        <v/>
      </c>
      <c r="Z63">
        <f>HYPERLINK("https://klasma.github.io/Logging_0860/klagomålsmail/A 4254-2024 FSC-klagomål mail.docx", "A 4254-2024")</f>
        <v/>
      </c>
      <c r="AA63">
        <f>HYPERLINK("https://klasma.github.io/Logging_0860/tillsyn/A 4254-2024 tillsynsbegäran.docx", "A 4254-2024")</f>
        <v/>
      </c>
      <c r="AB63">
        <f>HYPERLINK("https://klasma.github.io/Logging_0860/tillsynsmail/A 4254-2024 tillsynsbegäran mail.docx", "A 4254-2024")</f>
        <v/>
      </c>
    </row>
    <row r="64" ht="15" customHeight="1">
      <c r="A64" t="inlineStr">
        <is>
          <t>A 14290-2024</t>
        </is>
      </c>
      <c r="B64" t="inlineStr">
        <is>
          <t>avverkningsanmälan</t>
        </is>
      </c>
      <c r="C64" t="inlineStr">
        <is>
          <t>Föryngringsavverkning</t>
        </is>
      </c>
      <c r="D64" s="1" t="n">
        <v>45393</v>
      </c>
      <c r="E64" s="1" t="n">
        <v>46221</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s="2" t="inlineStr">
        <is>
          <t>Blåsippa</t>
        </is>
      </c>
      <c r="V64">
        <f>HYPERLINK("https://klasma.github.io/Logging_0860/artfynd/A 14290-2024 artfynd.xlsx", "A 14290-2024")</f>
        <v/>
      </c>
      <c r="W64">
        <f>HYPERLINK("https://klasma.github.io/Logging_0860/kartor/A 14290-2024 karta.png", "A 14290-2024")</f>
        <v/>
      </c>
      <c r="Y64">
        <f>HYPERLINK("https://klasma.github.io/Logging_0860/klagomål/A 14290-2024 FSC-klagomål.docx", "A 14290-2024")</f>
        <v/>
      </c>
      <c r="Z64">
        <f>HYPERLINK("https://klasma.github.io/Logging_0860/klagomålsmail/A 14290-2024 FSC-klagomål mail.docx", "A 14290-2024")</f>
        <v/>
      </c>
      <c r="AA64">
        <f>HYPERLINK("https://klasma.github.io/Logging_0860/tillsyn/A 14290-2024 tillsynsbegäran.docx", "A 14290-2024")</f>
        <v/>
      </c>
      <c r="AB64">
        <f>HYPERLINK("https://klasma.github.io/Logging_0860/tillsynsmail/A 14290-2024 tillsynsbegäran mail.docx", "A 14290-2024")</f>
        <v/>
      </c>
    </row>
    <row r="65" ht="15" customHeight="1">
      <c r="A65" t="inlineStr">
        <is>
          <t>A 16879-2025</t>
        </is>
      </c>
      <c r="B65" t="inlineStr">
        <is>
          <t>avverkningsanmälan</t>
        </is>
      </c>
      <c r="C65" t="inlineStr">
        <is>
          <t>Avverkning för att bevara och utveckla /försöksver</t>
        </is>
      </c>
      <c r="D65" s="1" t="n">
        <v>45755</v>
      </c>
      <c r="E65" s="1" t="n">
        <v>46221</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s="2" t="inlineStr">
        <is>
          <t>Havsörn</t>
        </is>
      </c>
      <c r="V65">
        <f>HYPERLINK("https://klasma.github.io/Logging_0860/artfynd/A 16879-2025 artfynd.xlsx", "A 16879-2025")</f>
        <v/>
      </c>
      <c r="W65">
        <f>HYPERLINK("https://klasma.github.io/Logging_0860/kartor/A 16879-2025 karta.png", "A 16879-2025")</f>
        <v/>
      </c>
      <c r="Y65">
        <f>HYPERLINK("https://klasma.github.io/Logging_0860/klagomål/A 16879-2025 FSC-klagomål.docx", "A 16879-2025")</f>
        <v/>
      </c>
      <c r="Z65">
        <f>HYPERLINK("https://klasma.github.io/Logging_0860/klagomålsmail/A 16879-2025 FSC-klagomål mail.docx", "A 16879-2025")</f>
        <v/>
      </c>
      <c r="AA65">
        <f>HYPERLINK("https://klasma.github.io/Logging_0860/tillsyn/A 16879-2025 tillsynsbegäran.docx", "A 16879-2025")</f>
        <v/>
      </c>
      <c r="AB65">
        <f>HYPERLINK("https://klasma.github.io/Logging_0860/tillsynsmail/A 16879-2025 tillsynsbegäran mail.docx", "A 16879-2025")</f>
        <v/>
      </c>
      <c r="AC65">
        <f>HYPERLINK("https://klasma.github.io/Logging_0860/fåglar/A 16879-2025 prioriterade fågelarter.docx", "A 16879-2025")</f>
        <v/>
      </c>
    </row>
    <row r="66" ht="15" customHeight="1">
      <c r="A66" t="inlineStr">
        <is>
          <t>A 32381-2024</t>
        </is>
      </c>
      <c r="B66" t="inlineStr">
        <is>
          <t>avverkningsanmälan</t>
        </is>
      </c>
      <c r="C66" t="inlineStr">
        <is>
          <t>Föryngringsavverkning</t>
        </is>
      </c>
      <c r="D66" s="1" t="n">
        <v>45512</v>
      </c>
      <c r="E66" s="1" t="n">
        <v>46221</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s="2" t="inlineStr">
        <is>
          <t>Spindelört</t>
        </is>
      </c>
      <c r="V66">
        <f>HYPERLINK("https://klasma.github.io/Logging_0860/artfynd/A 32381-2024 artfynd.xlsx", "A 32381-2024")</f>
        <v/>
      </c>
      <c r="W66">
        <f>HYPERLINK("https://klasma.github.io/Logging_0860/kartor/A 32381-2024 karta.png", "A 32381-2024")</f>
        <v/>
      </c>
      <c r="Y66">
        <f>HYPERLINK("https://klasma.github.io/Logging_0860/klagomål/A 32381-2024 FSC-klagomål.docx", "A 32381-2024")</f>
        <v/>
      </c>
      <c r="Z66">
        <f>HYPERLINK("https://klasma.github.io/Logging_0860/klagomålsmail/A 32381-2024 FSC-klagomål mail.docx", "A 32381-2024")</f>
        <v/>
      </c>
      <c r="AA66">
        <f>HYPERLINK("https://klasma.github.io/Logging_0860/tillsyn/A 32381-2024 tillsynsbegäran.docx", "A 32381-2024")</f>
        <v/>
      </c>
      <c r="AB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46221</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s="2" t="inlineStr">
        <is>
          <t>Knärot</t>
        </is>
      </c>
      <c r="V67">
        <f>HYPERLINK("https://klasma.github.io/Logging_0860/artfynd/A 50296-2023 artfynd.xlsx", "A 50296-2023")</f>
        <v/>
      </c>
      <c r="W67">
        <f>HYPERLINK("https://klasma.github.io/Logging_0860/kartor/A 50296-2023 karta.png", "A 50296-2023")</f>
        <v/>
      </c>
      <c r="X67">
        <f>HYPERLINK("https://klasma.github.io/Logging_0860/knärot/A 50296-2023 karta knärot.png", "A 50296-2023")</f>
        <v/>
      </c>
      <c r="Y67">
        <f>HYPERLINK("https://klasma.github.io/Logging_0860/klagomål/A 50296-2023 FSC-klagomål.docx", "A 50296-2023")</f>
        <v/>
      </c>
      <c r="Z67">
        <f>HYPERLINK("https://klasma.github.io/Logging_0860/klagomålsmail/A 50296-2023 FSC-klagomål mail.docx", "A 50296-2023")</f>
        <v/>
      </c>
      <c r="AA67">
        <f>HYPERLINK("https://klasma.github.io/Logging_0860/tillsyn/A 50296-2023 tillsynsbegäran.docx", "A 50296-2023")</f>
        <v/>
      </c>
      <c r="AB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46221</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s="2" t="inlineStr">
        <is>
          <t>Strimsporrebagge</t>
        </is>
      </c>
      <c r="V68">
        <f>HYPERLINK("https://klasma.github.io/Logging_0860/artfynd/A 21268-2022 artfynd.xlsx", "A 21268-2022")</f>
        <v/>
      </c>
      <c r="W68">
        <f>HYPERLINK("https://klasma.github.io/Logging_0860/kartor/A 21268-2022 karta.png", "A 21268-2022")</f>
        <v/>
      </c>
      <c r="Y68">
        <f>HYPERLINK("https://klasma.github.io/Logging_0860/klagomål/A 21268-2022 FSC-klagomål.docx", "A 21268-2022")</f>
        <v/>
      </c>
      <c r="Z68">
        <f>HYPERLINK("https://klasma.github.io/Logging_0860/klagomålsmail/A 21268-2022 FSC-klagomål mail.docx", "A 21268-2022")</f>
        <v/>
      </c>
      <c r="AA68">
        <f>HYPERLINK("https://klasma.github.io/Logging_0860/tillsyn/A 21268-2022 tillsynsbegäran.docx", "A 21268-2022")</f>
        <v/>
      </c>
      <c r="AB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46221</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s="2" t="inlineStr">
        <is>
          <t>Tennfibbla</t>
        </is>
      </c>
      <c r="V69">
        <f>HYPERLINK("https://klasma.github.io/Logging_0860/artfynd/A 49265-2024 artfynd.xlsx", "A 49265-2024")</f>
        <v/>
      </c>
      <c r="W69">
        <f>HYPERLINK("https://klasma.github.io/Logging_0860/kartor/A 49265-2024 karta.png", "A 49265-2024")</f>
        <v/>
      </c>
      <c r="Y69">
        <f>HYPERLINK("https://klasma.github.io/Logging_0860/klagomål/A 49265-2024 FSC-klagomål.docx", "A 49265-2024")</f>
        <v/>
      </c>
      <c r="Z69">
        <f>HYPERLINK("https://klasma.github.io/Logging_0860/klagomålsmail/A 49265-2024 FSC-klagomål mail.docx", "A 49265-2024")</f>
        <v/>
      </c>
      <c r="AA69">
        <f>HYPERLINK("https://klasma.github.io/Logging_0860/tillsyn/A 49265-2024 tillsynsbegäran.docx", "A 49265-2024")</f>
        <v/>
      </c>
      <c r="AB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46221</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s="2" t="inlineStr">
        <is>
          <t>Knärot</t>
        </is>
      </c>
      <c r="V70">
        <f>HYPERLINK("https://klasma.github.io/Logging_0860/artfynd/A 4257-2024 artfynd.xlsx", "A 4257-2024")</f>
        <v/>
      </c>
      <c r="W70">
        <f>HYPERLINK("https://klasma.github.io/Logging_0860/kartor/A 4257-2024 karta.png", "A 4257-2024")</f>
        <v/>
      </c>
      <c r="X70">
        <f>HYPERLINK("https://klasma.github.io/Logging_0860/knärot/A 4257-2024 karta knärot.png", "A 4257-2024")</f>
        <v/>
      </c>
      <c r="Y70">
        <f>HYPERLINK("https://klasma.github.io/Logging_0860/klagomål/A 4257-2024 FSC-klagomål.docx", "A 4257-2024")</f>
        <v/>
      </c>
      <c r="Z70">
        <f>HYPERLINK("https://klasma.github.io/Logging_0860/klagomålsmail/A 4257-2024 FSC-klagomål mail.docx", "A 4257-2024")</f>
        <v/>
      </c>
      <c r="AA70">
        <f>HYPERLINK("https://klasma.github.io/Logging_0860/tillsyn/A 4257-2024 tillsynsbegäran.docx", "A 4257-2024")</f>
        <v/>
      </c>
      <c r="AB70">
        <f>HYPERLINK("https://klasma.github.io/Logging_0860/tillsynsmail/A 4257-2024 tillsynsbegäran mail.docx", "A 4257-2024")</f>
        <v/>
      </c>
    </row>
    <row r="71" ht="15" customHeight="1">
      <c r="A71" t="inlineStr">
        <is>
          <t>A 5563-2026</t>
        </is>
      </c>
      <c r="B71" t="inlineStr">
        <is>
          <t>avverkningsanmälan</t>
        </is>
      </c>
      <c r="C71" t="inlineStr">
        <is>
          <t>Föryngringsavverkning</t>
        </is>
      </c>
      <c r="D71" s="1" t="n">
        <v>46050</v>
      </c>
      <c r="E71" s="1" t="n">
        <v>46221</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s="2" t="inlineStr">
        <is>
          <t>Smal guldkornsfibbla</t>
        </is>
      </c>
      <c r="V71">
        <f>HYPERLINK("https://klasma.github.io/Logging_0860/artfynd/A 5563-2026 artfynd.xlsx", "A 5563-2026")</f>
        <v/>
      </c>
      <c r="W71">
        <f>HYPERLINK("https://klasma.github.io/Logging_0860/kartor/A 5563-2026 karta.png", "A 5563-2026")</f>
        <v/>
      </c>
      <c r="Y71">
        <f>HYPERLINK("https://klasma.github.io/Logging_0860/klagomål/A 5563-2026 FSC-klagomål.docx", "A 5563-2026")</f>
        <v/>
      </c>
      <c r="Z71">
        <f>HYPERLINK("https://klasma.github.io/Logging_0860/klagomålsmail/A 5563-2026 FSC-klagomål mail.docx", "A 5563-2026")</f>
        <v/>
      </c>
      <c r="AA71">
        <f>HYPERLINK("https://klasma.github.io/Logging_0860/tillsyn/A 5563-2026 tillsynsbegäran.docx", "A 5563-2026")</f>
        <v/>
      </c>
      <c r="AB71">
        <f>HYPERLINK("https://klasma.github.io/Logging_0860/tillsynsmail/A 5563-2026 tillsynsbegäran mail.docx", "A 5563-2026")</f>
        <v/>
      </c>
    </row>
    <row r="72" ht="15" customHeight="1">
      <c r="A72" t="inlineStr">
        <is>
          <t>A 14095-2023</t>
        </is>
      </c>
      <c r="B72" t="inlineStr">
        <is>
          <t>avverkningsanmälan</t>
        </is>
      </c>
      <c r="C72" t="inlineStr">
        <is>
          <t>Föryngringsavverkning</t>
        </is>
      </c>
      <c r="D72" s="1" t="n">
        <v>45009</v>
      </c>
      <c r="E72" s="1" t="n">
        <v>46221</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s="2" t="inlineStr">
        <is>
          <t>Dvärgkällmossa</t>
        </is>
      </c>
      <c r="V72">
        <f>HYPERLINK("https://klasma.github.io/Logging_0860/artfynd/A 14095-2023 artfynd.xlsx", "A 14095-2023")</f>
        <v/>
      </c>
      <c r="W72">
        <f>HYPERLINK("https://klasma.github.io/Logging_0860/kartor/A 14095-2023 karta.png", "A 14095-2023")</f>
        <v/>
      </c>
      <c r="Y72">
        <f>HYPERLINK("https://klasma.github.io/Logging_0860/klagomål/A 14095-2023 FSC-klagomål.docx", "A 14095-2023")</f>
        <v/>
      </c>
      <c r="Z72">
        <f>HYPERLINK("https://klasma.github.io/Logging_0860/klagomålsmail/A 14095-2023 FSC-klagomål mail.docx", "A 14095-2023")</f>
        <v/>
      </c>
      <c r="AA72">
        <f>HYPERLINK("https://klasma.github.io/Logging_0860/tillsyn/A 14095-2023 tillsynsbegäran.docx", "A 14095-2023")</f>
        <v/>
      </c>
      <c r="AB72">
        <f>HYPERLINK("https://klasma.github.io/Logging_0860/tillsynsmail/A 14095-2023 tillsynsbegäran mail.docx", "A 14095-2023")</f>
        <v/>
      </c>
    </row>
    <row r="73" ht="15" customHeight="1">
      <c r="A73" t="inlineStr">
        <is>
          <t>A 48938-2024</t>
        </is>
      </c>
      <c r="B73" t="inlineStr">
        <is>
          <t>avverkningsanmälan</t>
        </is>
      </c>
      <c r="C73" t="inlineStr">
        <is>
          <t>Föryngringsavverkning</t>
        </is>
      </c>
      <c r="D73" s="1" t="n">
        <v>45594</v>
      </c>
      <c r="E73" s="1" t="n">
        <v>46221</v>
      </c>
      <c r="F73" t="inlineStr">
        <is>
          <t>KALMAR LÄN</t>
        </is>
      </c>
      <c r="G73" t="inlineStr">
        <is>
          <t>HULTSFRED</t>
        </is>
      </c>
      <c r="I73" t="n">
        <v>1.1</v>
      </c>
      <c r="J73" t="n">
        <v>1</v>
      </c>
      <c r="K73" t="n">
        <v>0</v>
      </c>
      <c r="L73" t="n">
        <v>0</v>
      </c>
      <c r="M73" t="n">
        <v>0</v>
      </c>
      <c r="N73" t="n">
        <v>0</v>
      </c>
      <c r="O73" t="n">
        <v>0</v>
      </c>
      <c r="P73" t="n">
        <v>0</v>
      </c>
      <c r="Q73" t="n">
        <v>0</v>
      </c>
      <c r="R73" t="n">
        <v>0</v>
      </c>
      <c r="S73" t="n">
        <v>1</v>
      </c>
      <c r="T73" t="n">
        <v>1</v>
      </c>
      <c r="U73" s="2" t="inlineStr">
        <is>
          <t>Järpe</t>
        </is>
      </c>
      <c r="V73">
        <f>HYPERLINK("https://klasma.github.io/Logging_0860/artfynd/A 48938-2024 artfynd.xlsx", "A 48938-2024")</f>
        <v/>
      </c>
      <c r="W73">
        <f>HYPERLINK("https://klasma.github.io/Logging_0860/kartor/A 48938-2024 karta.png", "A 48938-2024")</f>
        <v/>
      </c>
      <c r="Y73">
        <f>HYPERLINK("https://klasma.github.io/Logging_0860/klagomål/A 48938-2024 FSC-klagomål.docx", "A 48938-2024")</f>
        <v/>
      </c>
      <c r="Z73">
        <f>HYPERLINK("https://klasma.github.io/Logging_0860/klagomålsmail/A 48938-2024 FSC-klagomål mail.docx", "A 48938-2024")</f>
        <v/>
      </c>
      <c r="AA73">
        <f>HYPERLINK("https://klasma.github.io/Logging_0860/tillsyn/A 48938-2024 tillsynsbegäran.docx", "A 48938-2024")</f>
        <v/>
      </c>
      <c r="AB73">
        <f>HYPERLINK("https://klasma.github.io/Logging_0860/tillsynsmail/A 48938-2024 tillsynsbegäran mail.docx", "A 48938-2024")</f>
        <v/>
      </c>
      <c r="AC73">
        <f>HYPERLINK("https://klasma.github.io/Logging_0860/fåglar/A 48938-2024 prioriterade fågelarter.docx", "A 48938-2024")</f>
        <v/>
      </c>
    </row>
    <row r="74" ht="15" customHeight="1">
      <c r="A74" t="inlineStr">
        <is>
          <t>A 37916-2022</t>
        </is>
      </c>
      <c r="B74" t="inlineStr">
        <is>
          <t>avverkningsanmälan</t>
        </is>
      </c>
      <c r="C74" t="inlineStr">
        <is>
          <t>Föryngringsavverkning</t>
        </is>
      </c>
      <c r="D74" s="1" t="n">
        <v>44811</v>
      </c>
      <c r="E74" s="1" t="n">
        <v>46221</v>
      </c>
      <c r="F74" t="inlineStr">
        <is>
          <t>KALMAR LÄN</t>
        </is>
      </c>
      <c r="G74" t="inlineStr">
        <is>
          <t>HULTSFRED</t>
        </is>
      </c>
      <c r="I74" t="n">
        <v>3.8</v>
      </c>
      <c r="J74" t="n">
        <v>1</v>
      </c>
      <c r="K74" t="n">
        <v>0</v>
      </c>
      <c r="L74" t="n">
        <v>0</v>
      </c>
      <c r="M74" t="n">
        <v>0</v>
      </c>
      <c r="N74" t="n">
        <v>0</v>
      </c>
      <c r="O74" t="n">
        <v>0</v>
      </c>
      <c r="P74" t="n">
        <v>0</v>
      </c>
      <c r="Q74" t="n">
        <v>0</v>
      </c>
      <c r="R74" t="n">
        <v>0</v>
      </c>
      <c r="S74" t="n">
        <v>1</v>
      </c>
      <c r="T74" t="n">
        <v>3</v>
      </c>
      <c r="U74" s="2" t="inlineStr">
        <is>
          <t>Blåsippa</t>
        </is>
      </c>
      <c r="V74">
        <f>HYPERLINK("https://klasma.github.io/Logging_0860/artfynd/A 37916-2022 artfynd.xlsx", "A 37916-2022")</f>
        <v/>
      </c>
      <c r="W74">
        <f>HYPERLINK("https://klasma.github.io/Logging_0860/kartor/A 37916-2022 karta.png", "A 37916-2022")</f>
        <v/>
      </c>
      <c r="Y74">
        <f>HYPERLINK("https://klasma.github.io/Logging_0860/klagomål/A 37916-2022 FSC-klagomål.docx", "A 37916-2022")</f>
        <v/>
      </c>
      <c r="Z74">
        <f>HYPERLINK("https://klasma.github.io/Logging_0860/klagomålsmail/A 37916-2022 FSC-klagomål mail.docx", "A 37916-2022")</f>
        <v/>
      </c>
      <c r="AA74">
        <f>HYPERLINK("https://klasma.github.io/Logging_0860/tillsyn/A 37916-2022 tillsynsbegäran.docx", "A 37916-2022")</f>
        <v/>
      </c>
      <c r="AB74">
        <f>HYPERLINK("https://klasma.github.io/Logging_0860/tillsynsmail/A 37916-2022 tillsynsbegäran mail.docx", "A 37916-2022")</f>
        <v/>
      </c>
    </row>
    <row r="75" ht="15" customHeight="1">
      <c r="A75" t="inlineStr">
        <is>
          <t>A 52690-2023</t>
        </is>
      </c>
      <c r="B75" t="inlineStr">
        <is>
          <t>avverkningsanmälan</t>
        </is>
      </c>
      <c r="C75" t="inlineStr">
        <is>
          <t>Föryngringsavverkning</t>
        </is>
      </c>
      <c r="D75" s="1" t="n">
        <v>45225</v>
      </c>
      <c r="E75" s="1" t="n">
        <v>46221</v>
      </c>
      <c r="F75" t="inlineStr">
        <is>
          <t>KALMAR LÄN</t>
        </is>
      </c>
      <c r="G75" t="inlineStr">
        <is>
          <t>HULTSFRED</t>
        </is>
      </c>
      <c r="I75" t="n">
        <v>1.4</v>
      </c>
      <c r="J75" t="n">
        <v>0</v>
      </c>
      <c r="K75" t="n">
        <v>1</v>
      </c>
      <c r="L75" t="n">
        <v>0</v>
      </c>
      <c r="M75" t="n">
        <v>0</v>
      </c>
      <c r="N75" t="n">
        <v>0</v>
      </c>
      <c r="O75" t="n">
        <v>0</v>
      </c>
      <c r="P75" t="n">
        <v>0</v>
      </c>
      <c r="Q75" t="n">
        <v>0</v>
      </c>
      <c r="R75" t="n">
        <v>0</v>
      </c>
      <c r="S75" t="n">
        <v>1</v>
      </c>
      <c r="T75" t="n">
        <v>1</v>
      </c>
      <c r="U75" s="2" t="inlineStr">
        <is>
          <t>Tibast</t>
        </is>
      </c>
      <c r="V75">
        <f>HYPERLINK("https://klasma.github.io/Logging_0860/artfynd/A 52690-2023 artfynd.xlsx", "A 52690-2023")</f>
        <v/>
      </c>
      <c r="W75">
        <f>HYPERLINK("https://klasma.github.io/Logging_0860/kartor/A 52690-2023 karta.png", "A 52690-2023")</f>
        <v/>
      </c>
      <c r="Y75">
        <f>HYPERLINK("https://klasma.github.io/Logging_0860/klagomål/A 52690-2023 FSC-klagomål.docx", "A 52690-2023")</f>
        <v/>
      </c>
      <c r="Z75">
        <f>HYPERLINK("https://klasma.github.io/Logging_0860/klagomålsmail/A 52690-2023 FSC-klagomål mail.docx", "A 52690-2023")</f>
        <v/>
      </c>
      <c r="AA75">
        <f>HYPERLINK("https://klasma.github.io/Logging_0860/tillsyn/A 52690-2023 tillsynsbegäran.docx", "A 52690-2023")</f>
        <v/>
      </c>
      <c r="AB75">
        <f>HYPERLINK("https://klasma.github.io/Logging_0860/tillsynsmail/A 52690-2023 tillsynsbegäran mail.docx", "A 52690-2023")</f>
        <v/>
      </c>
    </row>
    <row r="76" ht="15" customHeight="1">
      <c r="A76" t="inlineStr">
        <is>
          <t>A 54307-2025</t>
        </is>
      </c>
      <c r="B76" t="inlineStr">
        <is>
          <t>avverkningsanmälan</t>
        </is>
      </c>
      <c r="C76" t="inlineStr">
        <is>
          <t>Föryngringsavverkning</t>
        </is>
      </c>
      <c r="D76" s="1" t="n">
        <v>45965</v>
      </c>
      <c r="E76" s="1" t="n">
        <v>46221</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s="2" t="inlineStr">
        <is>
          <t>Järnsparv</t>
        </is>
      </c>
      <c r="V76">
        <f>HYPERLINK("https://klasma.github.io/Logging_0860/artfynd/A 54307-2025 artfynd.xlsx", "A 54307-2025")</f>
        <v/>
      </c>
      <c r="W76">
        <f>HYPERLINK("https://klasma.github.io/Logging_0860/kartor/A 54307-2025 karta.png", "A 54307-2025")</f>
        <v/>
      </c>
      <c r="Y76">
        <f>HYPERLINK("https://klasma.github.io/Logging_0860/klagomål/A 54307-2025 FSC-klagomål.docx", "A 54307-2025")</f>
        <v/>
      </c>
      <c r="Z76">
        <f>HYPERLINK("https://klasma.github.io/Logging_0860/klagomålsmail/A 54307-2025 FSC-klagomål mail.docx", "A 54307-2025")</f>
        <v/>
      </c>
      <c r="AA76">
        <f>HYPERLINK("https://klasma.github.io/Logging_0860/tillsyn/A 54307-2025 tillsynsbegäran.docx", "A 54307-2025")</f>
        <v/>
      </c>
      <c r="AB76">
        <f>HYPERLINK("https://klasma.github.io/Logging_0860/tillsynsmail/A 54307-2025 tillsynsbegäran mail.docx", "A 54307-2025")</f>
        <v/>
      </c>
      <c r="AC76">
        <f>HYPERLINK("https://klasma.github.io/Logging_0860/fåglar/A 54307-2025 prioriterade fågelarter.docx", "A 54307-2025")</f>
        <v/>
      </c>
    </row>
    <row r="77" ht="15" customHeight="1">
      <c r="A77" t="inlineStr">
        <is>
          <t>A 9328-2025</t>
        </is>
      </c>
      <c r="B77" t="inlineStr">
        <is>
          <t>avverkningsanmälan</t>
        </is>
      </c>
      <c r="C77" t="inlineStr">
        <is>
          <t>Föryngringsavverkning</t>
        </is>
      </c>
      <c r="D77" s="1" t="n">
        <v>45714</v>
      </c>
      <c r="E77" s="1" t="n">
        <v>46221</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s="2" t="inlineStr">
        <is>
          <t>Smal sågmossa</t>
        </is>
      </c>
      <c r="V77">
        <f>HYPERLINK("https://klasma.github.io/Logging_0860/artfynd/A 9328-2025 artfynd.xlsx", "A 9328-2025")</f>
        <v/>
      </c>
      <c r="W77">
        <f>HYPERLINK("https://klasma.github.io/Logging_0860/kartor/A 9328-2025 karta.png", "A 9328-2025")</f>
        <v/>
      </c>
      <c r="Y77">
        <f>HYPERLINK("https://klasma.github.io/Logging_0860/klagomål/A 9328-2025 FSC-klagomål.docx", "A 9328-2025")</f>
        <v/>
      </c>
      <c r="Z77">
        <f>HYPERLINK("https://klasma.github.io/Logging_0860/klagomålsmail/A 9328-2025 FSC-klagomål mail.docx", "A 9328-2025")</f>
        <v/>
      </c>
      <c r="AA77">
        <f>HYPERLINK("https://klasma.github.io/Logging_0860/tillsyn/A 9328-2025 tillsynsbegäran.docx", "A 9328-2025")</f>
        <v/>
      </c>
      <c r="AB77">
        <f>HYPERLINK("https://klasma.github.io/Logging_0860/tillsynsmail/A 9328-2025 tillsynsbegäran mail.docx", "A 9328-2025")</f>
        <v/>
      </c>
    </row>
    <row r="78" ht="15" customHeight="1">
      <c r="A78" t="inlineStr">
        <is>
          <t>A 55614-2025</t>
        </is>
      </c>
      <c r="B78" t="inlineStr">
        <is>
          <t>avverkningsanmälan</t>
        </is>
      </c>
      <c r="C78" t="inlineStr">
        <is>
          <t>Föryngringsavverkning</t>
        </is>
      </c>
      <c r="D78" s="1" t="n">
        <v>45971</v>
      </c>
      <c r="E78" s="1" t="n">
        <v>46221</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s="2" t="inlineStr">
        <is>
          <t>Grönhjon</t>
        </is>
      </c>
      <c r="V78">
        <f>HYPERLINK("https://klasma.github.io/Logging_0860/artfynd/A 55614-2025 artfynd.xlsx", "A 55614-2025")</f>
        <v/>
      </c>
      <c r="W78">
        <f>HYPERLINK("https://klasma.github.io/Logging_0860/kartor/A 55614-2025 karta.png", "A 55614-2025")</f>
        <v/>
      </c>
      <c r="Y78">
        <f>HYPERLINK("https://klasma.github.io/Logging_0860/klagomål/A 55614-2025 FSC-klagomål.docx", "A 55614-2025")</f>
        <v/>
      </c>
      <c r="Z78">
        <f>HYPERLINK("https://klasma.github.io/Logging_0860/klagomålsmail/A 55614-2025 FSC-klagomål mail.docx", "A 55614-2025")</f>
        <v/>
      </c>
      <c r="AA78">
        <f>HYPERLINK("https://klasma.github.io/Logging_0860/tillsyn/A 55614-2025 tillsynsbegäran.docx", "A 55614-2025")</f>
        <v/>
      </c>
      <c r="AB78">
        <f>HYPERLINK("https://klasma.github.io/Logging_0860/tillsynsmail/A 55614-2025 tillsynsbegäran mail.docx", "A 55614-2025")</f>
        <v/>
      </c>
    </row>
    <row r="79" ht="15" customHeight="1">
      <c r="A79" t="inlineStr">
        <is>
          <t>A 58055-2025</t>
        </is>
      </c>
      <c r="B79" t="inlineStr">
        <is>
          <t>avverkningsanmälan</t>
        </is>
      </c>
      <c r="C79" t="inlineStr">
        <is>
          <t>Föryngringsavverkning</t>
        </is>
      </c>
      <c r="D79" s="1" t="n">
        <v>45982</v>
      </c>
      <c r="E79" s="1" t="n">
        <v>46221</v>
      </c>
      <c r="F79" t="inlineStr">
        <is>
          <t>KALMAR LÄN</t>
        </is>
      </c>
      <c r="G79" t="inlineStr">
        <is>
          <t>HULTSFRED</t>
        </is>
      </c>
      <c r="I79" t="n">
        <v>2.5</v>
      </c>
      <c r="J79" t="n">
        <v>1</v>
      </c>
      <c r="K79" t="n">
        <v>0</v>
      </c>
      <c r="L79" t="n">
        <v>0</v>
      </c>
      <c r="M79" t="n">
        <v>0</v>
      </c>
      <c r="N79" t="n">
        <v>0</v>
      </c>
      <c r="O79" t="n">
        <v>0</v>
      </c>
      <c r="P79" t="n">
        <v>0</v>
      </c>
      <c r="Q79" t="n">
        <v>0</v>
      </c>
      <c r="R79" t="n">
        <v>0</v>
      </c>
      <c r="S79" t="n">
        <v>1</v>
      </c>
      <c r="T79" t="n">
        <v>1</v>
      </c>
      <c r="U79" s="2" t="inlineStr">
        <is>
          <t>Gullviva</t>
        </is>
      </c>
      <c r="V79">
        <f>HYPERLINK("https://klasma.github.io/Logging_0860/artfynd/A 58055-2025 artfynd.xlsx", "A 58055-2025")</f>
        <v/>
      </c>
      <c r="W79">
        <f>HYPERLINK("https://klasma.github.io/Logging_0860/kartor/A 58055-2025 karta.png", "A 58055-2025")</f>
        <v/>
      </c>
      <c r="Y79">
        <f>HYPERLINK("https://klasma.github.io/Logging_0860/klagomål/A 58055-2025 FSC-klagomål.docx", "A 58055-2025")</f>
        <v/>
      </c>
      <c r="Z79">
        <f>HYPERLINK("https://klasma.github.io/Logging_0860/klagomålsmail/A 58055-2025 FSC-klagomål mail.docx", "A 58055-2025")</f>
        <v/>
      </c>
      <c r="AA79">
        <f>HYPERLINK("https://klasma.github.io/Logging_0860/tillsyn/A 58055-2025 tillsynsbegäran.docx", "A 58055-2025")</f>
        <v/>
      </c>
      <c r="AB79">
        <f>HYPERLINK("https://klasma.github.io/Logging_0860/tillsynsmail/A 58055-2025 tillsynsbegäran mail.docx", "A 58055-2025")</f>
        <v/>
      </c>
    </row>
    <row r="80" ht="15" customHeight="1">
      <c r="A80" t="inlineStr">
        <is>
          <t>A 11009-2026</t>
        </is>
      </c>
      <c r="B80" t="inlineStr">
        <is>
          <t>avverkningsanmälan</t>
        </is>
      </c>
      <c r="C80" t="inlineStr">
        <is>
          <t>Föryngringsavverkning</t>
        </is>
      </c>
      <c r="D80" s="1" t="n">
        <v>46078</v>
      </c>
      <c r="E80" s="1" t="n">
        <v>46221</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s="2" t="inlineStr">
        <is>
          <t>Revlummer</t>
        </is>
      </c>
      <c r="V80">
        <f>HYPERLINK("https://klasma.github.io/Logging_0860/artfynd/A 11009-2026 artfynd.xlsx", "A 11009-2026")</f>
        <v/>
      </c>
      <c r="W80">
        <f>HYPERLINK("https://klasma.github.io/Logging_0860/kartor/A 11009-2026 karta.png", "A 11009-2026")</f>
        <v/>
      </c>
      <c r="Y80">
        <f>HYPERLINK("https://klasma.github.io/Logging_0860/klagomål/A 11009-2026 FSC-klagomål.docx", "A 11009-2026")</f>
        <v/>
      </c>
      <c r="Z80">
        <f>HYPERLINK("https://klasma.github.io/Logging_0860/klagomålsmail/A 11009-2026 FSC-klagomål mail.docx", "A 11009-2026")</f>
        <v/>
      </c>
      <c r="AA80">
        <f>HYPERLINK("https://klasma.github.io/Logging_0860/tillsyn/A 11009-2026 tillsynsbegäran.docx", "A 11009-2026")</f>
        <v/>
      </c>
      <c r="AB80">
        <f>HYPERLINK("https://klasma.github.io/Logging_0860/tillsynsmail/A 11009-2026 tillsynsbegäran mail.docx", "A 11009-2026")</f>
        <v/>
      </c>
    </row>
    <row r="81" ht="15" customHeight="1">
      <c r="A81" t="inlineStr">
        <is>
          <t>A 47350-2021</t>
        </is>
      </c>
      <c r="B81" t="inlineStr">
        <is>
          <t>avverkningsanmälan</t>
        </is>
      </c>
      <c r="C81" t="inlineStr">
        <is>
          <t>Föryngringsavverkning</t>
        </is>
      </c>
      <c r="D81" s="1" t="n">
        <v>44447</v>
      </c>
      <c r="E81" s="1" t="n">
        <v>46221</v>
      </c>
      <c r="F81" t="inlineStr">
        <is>
          <t>KALMAR LÄN</t>
        </is>
      </c>
      <c r="G81" t="inlineStr">
        <is>
          <t>HULTSFRED</t>
        </is>
      </c>
      <c r="H81" t="inlineStr">
        <is>
          <t>Kommuner</t>
        </is>
      </c>
      <c r="I81" t="n">
        <v>1.1</v>
      </c>
      <c r="J81" t="n">
        <v>0</v>
      </c>
      <c r="K81" t="n">
        <v>0</v>
      </c>
      <c r="L81" t="n">
        <v>1</v>
      </c>
      <c r="M81" t="n">
        <v>0</v>
      </c>
      <c r="N81" t="n">
        <v>0</v>
      </c>
      <c r="O81" t="n">
        <v>0</v>
      </c>
      <c r="P81" t="n">
        <v>0</v>
      </c>
      <c r="Q81" t="n">
        <v>1</v>
      </c>
      <c r="R81" t="n">
        <v>0</v>
      </c>
      <c r="S81" t="n">
        <v>1</v>
      </c>
      <c r="T81" t="n">
        <v>1</v>
      </c>
      <c r="U81" s="2" t="inlineStr">
        <is>
          <t>Sydspärgel</t>
        </is>
      </c>
      <c r="V81">
        <f>HYPERLINK("https://klasma.github.io/Logging_0860/artfynd/A 47350-2021 artfynd.xlsx", "A 47350-2021")</f>
        <v/>
      </c>
      <c r="W81">
        <f>HYPERLINK("https://klasma.github.io/Logging_0860/kartor/A 47350-2021 karta.png", "A 47350-2021")</f>
        <v/>
      </c>
      <c r="Y81">
        <f>HYPERLINK("https://klasma.github.io/Logging_0860/klagomål/A 47350-2021 FSC-klagomål.docx", "A 47350-2021")</f>
        <v/>
      </c>
      <c r="Z81">
        <f>HYPERLINK("https://klasma.github.io/Logging_0860/klagomålsmail/A 47350-2021 FSC-klagomål mail.docx", "A 47350-2021")</f>
        <v/>
      </c>
      <c r="AA81">
        <f>HYPERLINK("https://klasma.github.io/Logging_0860/tillsyn/A 47350-2021 tillsynsbegäran.docx", "A 47350-2021")</f>
        <v/>
      </c>
      <c r="AB81">
        <f>HYPERLINK("https://klasma.github.io/Logging_0860/tillsynsmail/A 47350-2021 tillsynsbegäran mail.docx", "A 47350-2021")</f>
        <v/>
      </c>
    </row>
    <row r="82" ht="15" customHeight="1">
      <c r="A82" t="inlineStr">
        <is>
          <t>A 15440-2023</t>
        </is>
      </c>
      <c r="B82" t="inlineStr">
        <is>
          <t>avverkningsanmälan</t>
        </is>
      </c>
      <c r="C82" t="inlineStr">
        <is>
          <t>Föryngringsavverkning</t>
        </is>
      </c>
      <c r="D82" s="1" t="n">
        <v>45016</v>
      </c>
      <c r="E82" s="1" t="n">
        <v>46221</v>
      </c>
      <c r="F82" t="inlineStr">
        <is>
          <t>KALMAR LÄN</t>
        </is>
      </c>
      <c r="G82" t="inlineStr">
        <is>
          <t>HULTSFRED</t>
        </is>
      </c>
      <c r="I82" t="n">
        <v>3.1</v>
      </c>
      <c r="J82" t="n">
        <v>1</v>
      </c>
      <c r="K82" t="n">
        <v>0</v>
      </c>
      <c r="L82" t="n">
        <v>0</v>
      </c>
      <c r="M82" t="n">
        <v>0</v>
      </c>
      <c r="N82" t="n">
        <v>0</v>
      </c>
      <c r="O82" t="n">
        <v>0</v>
      </c>
      <c r="P82" t="n">
        <v>0</v>
      </c>
      <c r="Q82" t="n">
        <v>0</v>
      </c>
      <c r="R82" t="n">
        <v>0</v>
      </c>
      <c r="S82" t="n">
        <v>1</v>
      </c>
      <c r="T82" t="n">
        <v>1</v>
      </c>
      <c r="U82" s="2" t="inlineStr">
        <is>
          <t>Spillkråka</t>
        </is>
      </c>
      <c r="V82">
        <f>HYPERLINK("https://klasma.github.io/Logging_0860/artfynd/A 15440-2023 artfynd.xlsx", "A 15440-2023")</f>
        <v/>
      </c>
      <c r="W82">
        <f>HYPERLINK("https://klasma.github.io/Logging_0860/kartor/A 15440-2023 karta.png", "A 15440-2023")</f>
        <v/>
      </c>
      <c r="Y82">
        <f>HYPERLINK("https://klasma.github.io/Logging_0860/klagomål/A 15440-2023 FSC-klagomål.docx", "A 15440-2023")</f>
        <v/>
      </c>
      <c r="Z82">
        <f>HYPERLINK("https://klasma.github.io/Logging_0860/klagomålsmail/A 15440-2023 FSC-klagomål mail.docx", "A 15440-2023")</f>
        <v/>
      </c>
      <c r="AA82">
        <f>HYPERLINK("https://klasma.github.io/Logging_0860/tillsyn/A 15440-2023 tillsynsbegäran.docx", "A 15440-2023")</f>
        <v/>
      </c>
      <c r="AB82">
        <f>HYPERLINK("https://klasma.github.io/Logging_0860/tillsynsmail/A 15440-2023 tillsynsbegäran mail.docx", "A 15440-2023")</f>
        <v/>
      </c>
      <c r="AC82">
        <f>HYPERLINK("https://klasma.github.io/Logging_0860/fåglar/A 15440-2023 prioriterade fågelarter.docx", "A 15440-2023")</f>
        <v/>
      </c>
    </row>
    <row r="83" ht="15" customHeight="1">
      <c r="A83" t="inlineStr">
        <is>
          <t>A 42773-2024</t>
        </is>
      </c>
      <c r="B83" t="inlineStr">
        <is>
          <t>avverkningsanmälan</t>
        </is>
      </c>
      <c r="C83" t="inlineStr">
        <is>
          <t>Avverkning för annat ändamål</t>
        </is>
      </c>
      <c r="D83" s="1" t="n">
        <v>45566</v>
      </c>
      <c r="E83" s="1" t="n">
        <v>46221</v>
      </c>
      <c r="F83" t="inlineStr">
        <is>
          <t>KALMAR LÄN</t>
        </is>
      </c>
      <c r="G83" t="inlineStr">
        <is>
          <t>HULTSFRED</t>
        </is>
      </c>
      <c r="I83" t="n">
        <v>0.3</v>
      </c>
      <c r="J83" t="n">
        <v>0</v>
      </c>
      <c r="K83" t="n">
        <v>0</v>
      </c>
      <c r="L83" t="n">
        <v>0</v>
      </c>
      <c r="M83" t="n">
        <v>1</v>
      </c>
      <c r="N83" t="n">
        <v>0</v>
      </c>
      <c r="O83" t="n">
        <v>0</v>
      </c>
      <c r="P83" t="n">
        <v>0</v>
      </c>
      <c r="Q83" t="n">
        <v>1</v>
      </c>
      <c r="R83" t="n">
        <v>1</v>
      </c>
      <c r="S83" t="n">
        <v>1</v>
      </c>
      <c r="T83" t="n">
        <v>2</v>
      </c>
      <c r="U83" s="2" t="inlineStr">
        <is>
          <t>Lungrot</t>
        </is>
      </c>
      <c r="V83">
        <f>HYPERLINK("https://klasma.github.io/Logging_0860/artfynd/A 42773-2024 artfynd.xlsx", "A 42773-2024")</f>
        <v/>
      </c>
      <c r="W83">
        <f>HYPERLINK("https://klasma.github.io/Logging_0860/kartor/A 42773-2024 karta.png", "A 42773-2024")</f>
        <v/>
      </c>
      <c r="Y83">
        <f>HYPERLINK("https://klasma.github.io/Logging_0860/klagomål/A 42773-2024 FSC-klagomål.docx", "A 42773-2024")</f>
        <v/>
      </c>
      <c r="Z83">
        <f>HYPERLINK("https://klasma.github.io/Logging_0860/klagomålsmail/A 42773-2024 FSC-klagomål mail.docx", "A 42773-2024")</f>
        <v/>
      </c>
      <c r="AA83">
        <f>HYPERLINK("https://klasma.github.io/Logging_0860/tillsyn/A 42773-2024 tillsynsbegäran.docx", "A 42773-2024")</f>
        <v/>
      </c>
      <c r="AB83">
        <f>HYPERLINK("https://klasma.github.io/Logging_0860/tillsynsmail/A 42773-2024 tillsynsbegäran mail.docx", "A 42773-2024")</f>
        <v/>
      </c>
    </row>
    <row r="84" ht="15" customHeight="1">
      <c r="A84" t="inlineStr">
        <is>
          <t>A 16891-2025</t>
        </is>
      </c>
      <c r="B84" t="inlineStr">
        <is>
          <t>avverkningsanmälan</t>
        </is>
      </c>
      <c r="C84" t="inlineStr">
        <is>
          <t>Avverkning för att bevara och utveckla /försöksver</t>
        </is>
      </c>
      <c r="D84" s="1" t="n">
        <v>45755</v>
      </c>
      <c r="E84" s="1" t="n">
        <v>46221</v>
      </c>
      <c r="F84" t="inlineStr">
        <is>
          <t>KALMAR LÄN</t>
        </is>
      </c>
      <c r="G84" t="inlineStr">
        <is>
          <t>HULTSFRED</t>
        </is>
      </c>
      <c r="I84" t="n">
        <v>4.3</v>
      </c>
      <c r="J84" t="n">
        <v>0</v>
      </c>
      <c r="K84" t="n">
        <v>0</v>
      </c>
      <c r="L84" t="n">
        <v>1</v>
      </c>
      <c r="M84" t="n">
        <v>0</v>
      </c>
      <c r="N84" t="n">
        <v>0</v>
      </c>
      <c r="O84" t="n">
        <v>0</v>
      </c>
      <c r="P84" t="n">
        <v>0</v>
      </c>
      <c r="Q84" t="n">
        <v>1</v>
      </c>
      <c r="R84" t="n">
        <v>0</v>
      </c>
      <c r="S84" t="n">
        <v>1</v>
      </c>
      <c r="T84" t="n">
        <v>1</v>
      </c>
      <c r="U84" s="2" t="inlineStr">
        <is>
          <t>Fyrflikig jordstjärna</t>
        </is>
      </c>
      <c r="V84">
        <f>HYPERLINK("https://klasma.github.io/Logging_0860/artfynd/A 16891-2025 artfynd.xlsx", "A 16891-2025")</f>
        <v/>
      </c>
      <c r="W84">
        <f>HYPERLINK("https://klasma.github.io/Logging_0860/kartor/A 16891-2025 karta.png", "A 16891-2025")</f>
        <v/>
      </c>
      <c r="Y84">
        <f>HYPERLINK("https://klasma.github.io/Logging_0860/klagomål/A 16891-2025 FSC-klagomål.docx", "A 16891-2025")</f>
        <v/>
      </c>
      <c r="Z84">
        <f>HYPERLINK("https://klasma.github.io/Logging_0860/klagomålsmail/A 16891-2025 FSC-klagomål mail.docx", "A 16891-2025")</f>
        <v/>
      </c>
      <c r="AA84">
        <f>HYPERLINK("https://klasma.github.io/Logging_0860/tillsyn/A 16891-2025 tillsynsbegäran.docx", "A 16891-2025")</f>
        <v/>
      </c>
      <c r="AB84">
        <f>HYPERLINK("https://klasma.github.io/Logging_0860/tillsynsmail/A 16891-2025 tillsynsbegäran mail.docx", "A 16891-2025")</f>
        <v/>
      </c>
    </row>
    <row r="85" ht="15" customHeight="1">
      <c r="A85" t="inlineStr">
        <is>
          <t>A 63212-2023</t>
        </is>
      </c>
      <c r="B85" t="inlineStr">
        <is>
          <t>avverkningsanmälan</t>
        </is>
      </c>
      <c r="C85" t="inlineStr">
        <is>
          <t>Föryngringsavverkning</t>
        </is>
      </c>
      <c r="D85" s="1" t="n">
        <v>45273</v>
      </c>
      <c r="E85" s="1" t="n">
        <v>46221</v>
      </c>
      <c r="F85" t="inlineStr">
        <is>
          <t>KALMAR LÄN</t>
        </is>
      </c>
      <c r="G85" t="inlineStr">
        <is>
          <t>HULTSFRED</t>
        </is>
      </c>
      <c r="I85" t="n">
        <v>2.5</v>
      </c>
      <c r="J85" t="n">
        <v>0</v>
      </c>
      <c r="K85" t="n">
        <v>0</v>
      </c>
      <c r="L85" t="n">
        <v>1</v>
      </c>
      <c r="M85" t="n">
        <v>0</v>
      </c>
      <c r="N85" t="n">
        <v>0</v>
      </c>
      <c r="O85" t="n">
        <v>0</v>
      </c>
      <c r="P85" t="n">
        <v>0</v>
      </c>
      <c r="Q85" t="n">
        <v>1</v>
      </c>
      <c r="R85" t="n">
        <v>0</v>
      </c>
      <c r="S85" t="n">
        <v>1</v>
      </c>
      <c r="T85" t="n">
        <v>1</v>
      </c>
      <c r="U85" s="2" t="inlineStr">
        <is>
          <t>Slåtterfibbla</t>
        </is>
      </c>
      <c r="V85">
        <f>HYPERLINK("https://klasma.github.io/Logging_0860/artfynd/A 63212-2023 artfynd.xlsx", "A 63212-2023")</f>
        <v/>
      </c>
      <c r="W85">
        <f>HYPERLINK("https://klasma.github.io/Logging_0860/kartor/A 63212-2023 karta.png", "A 63212-2023")</f>
        <v/>
      </c>
      <c r="Y85">
        <f>HYPERLINK("https://klasma.github.io/Logging_0860/klagomål/A 63212-2023 FSC-klagomål.docx", "A 63212-2023")</f>
        <v/>
      </c>
      <c r="Z85">
        <f>HYPERLINK("https://klasma.github.io/Logging_0860/klagomålsmail/A 63212-2023 FSC-klagomål mail.docx", "A 63212-2023")</f>
        <v/>
      </c>
      <c r="AA85">
        <f>HYPERLINK("https://klasma.github.io/Logging_0860/tillsyn/A 63212-2023 tillsynsbegäran.docx", "A 63212-2023")</f>
        <v/>
      </c>
      <c r="AB85">
        <f>HYPERLINK("https://klasma.github.io/Logging_0860/tillsynsmail/A 63212-2023 tillsynsbegäran mail.docx", "A 63212-2023")</f>
        <v/>
      </c>
    </row>
    <row r="86" ht="15" customHeight="1">
      <c r="A86" t="inlineStr">
        <is>
          <t>A 68096-2021</t>
        </is>
      </c>
      <c r="B86" t="inlineStr">
        <is>
          <t>avverkningsanmälan</t>
        </is>
      </c>
      <c r="C86" t="inlineStr">
        <is>
          <t>Föryngringsavverkning</t>
        </is>
      </c>
      <c r="D86" s="1" t="n">
        <v>44526</v>
      </c>
      <c r="E86" s="1" t="n">
        <v>46221</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s="2" t="inlineStr">
        <is>
          <t>Knärot</t>
        </is>
      </c>
      <c r="V86">
        <f>HYPERLINK("https://klasma.github.io/Logging_0860/artfynd/A 68096-2021 artfynd.xlsx", "A 68096-2021")</f>
        <v/>
      </c>
      <c r="W86">
        <f>HYPERLINK("https://klasma.github.io/Logging_0860/kartor/A 68096-2021 karta.png", "A 68096-2021")</f>
        <v/>
      </c>
      <c r="X86">
        <f>HYPERLINK("https://klasma.github.io/Logging_0860/knärot/A 68096-2021 karta knärot.png", "A 68096-2021")</f>
        <v/>
      </c>
      <c r="Y86">
        <f>HYPERLINK("https://klasma.github.io/Logging_0860/klagomål/A 68096-2021 FSC-klagomål.docx", "A 68096-2021")</f>
        <v/>
      </c>
      <c r="Z86">
        <f>HYPERLINK("https://klasma.github.io/Logging_0860/klagomålsmail/A 68096-2021 FSC-klagomål mail.docx", "A 68096-2021")</f>
        <v/>
      </c>
      <c r="AA86">
        <f>HYPERLINK("https://klasma.github.io/Logging_0860/tillsyn/A 68096-2021 tillsynsbegäran.docx", "A 68096-2021")</f>
        <v/>
      </c>
      <c r="AB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46221</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s="2" t="inlineStr">
        <is>
          <t>Tofsvipa</t>
        </is>
      </c>
      <c r="V87">
        <f>HYPERLINK("https://klasma.github.io/Logging_0860/artfynd/A 40256-2023 artfynd.xlsx", "A 40256-2023")</f>
        <v/>
      </c>
      <c r="W87">
        <f>HYPERLINK("https://klasma.github.io/Logging_0860/kartor/A 40256-2023 karta.png", "A 40256-2023")</f>
        <v/>
      </c>
      <c r="Y87">
        <f>HYPERLINK("https://klasma.github.io/Logging_0860/klagomål/A 40256-2023 FSC-klagomål.docx", "A 40256-2023")</f>
        <v/>
      </c>
      <c r="Z87">
        <f>HYPERLINK("https://klasma.github.io/Logging_0860/klagomålsmail/A 40256-2023 FSC-klagomål mail.docx", "A 40256-2023")</f>
        <v/>
      </c>
      <c r="AA87">
        <f>HYPERLINK("https://klasma.github.io/Logging_0860/tillsyn/A 40256-2023 tillsynsbegäran.docx", "A 40256-2023")</f>
        <v/>
      </c>
      <c r="AB87">
        <f>HYPERLINK("https://klasma.github.io/Logging_0860/tillsynsmail/A 40256-2023 tillsynsbegäran mail.docx", "A 40256-2023")</f>
        <v/>
      </c>
    </row>
    <row r="88" ht="15" customHeight="1">
      <c r="A88" t="inlineStr">
        <is>
          <t>A 5987-2025</t>
        </is>
      </c>
      <c r="B88" t="inlineStr">
        <is>
          <t>avverkningsanmälan</t>
        </is>
      </c>
      <c r="C88" t="inlineStr">
        <is>
          <t>Föryngringsavverkning</t>
        </is>
      </c>
      <c r="D88" s="1" t="n">
        <v>45695</v>
      </c>
      <c r="E88" s="1" t="n">
        <v>46221</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s="2" t="inlineStr">
        <is>
          <t>Revlummer</t>
        </is>
      </c>
      <c r="V88">
        <f>HYPERLINK("https://klasma.github.io/Logging_0860/artfynd/A 5987-2025 artfynd.xlsx", "A 5987-2025")</f>
        <v/>
      </c>
      <c r="W88">
        <f>HYPERLINK("https://klasma.github.io/Logging_0860/kartor/A 5987-2025 karta.png", "A 5987-2025")</f>
        <v/>
      </c>
      <c r="Y88">
        <f>HYPERLINK("https://klasma.github.io/Logging_0860/klagomål/A 5987-2025 FSC-klagomål.docx", "A 5987-2025")</f>
        <v/>
      </c>
      <c r="Z88">
        <f>HYPERLINK("https://klasma.github.io/Logging_0860/klagomålsmail/A 5987-2025 FSC-klagomål mail.docx", "A 5987-2025")</f>
        <v/>
      </c>
      <c r="AA88">
        <f>HYPERLINK("https://klasma.github.io/Logging_0860/tillsyn/A 5987-2025 tillsynsbegäran.docx", "A 5987-2025")</f>
        <v/>
      </c>
      <c r="AB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46221</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s="2" t="inlineStr">
        <is>
          <t>Vanlig padda</t>
        </is>
      </c>
      <c r="V89">
        <f>HYPERLINK("https://klasma.github.io/Logging_0860/artfynd/A 53203-2022 artfynd.xlsx", "A 53203-2022")</f>
        <v/>
      </c>
      <c r="W89">
        <f>HYPERLINK("https://klasma.github.io/Logging_0860/kartor/A 53203-2022 karta.png", "A 53203-2022")</f>
        <v/>
      </c>
      <c r="Y89">
        <f>HYPERLINK("https://klasma.github.io/Logging_0860/klagomål/A 53203-2022 FSC-klagomål.docx", "A 53203-2022")</f>
        <v/>
      </c>
      <c r="Z89">
        <f>HYPERLINK("https://klasma.github.io/Logging_0860/klagomålsmail/A 53203-2022 FSC-klagomål mail.docx", "A 53203-2022")</f>
        <v/>
      </c>
      <c r="AA89">
        <f>HYPERLINK("https://klasma.github.io/Logging_0860/tillsyn/A 53203-2022 tillsynsbegäran.docx", "A 53203-2022")</f>
        <v/>
      </c>
      <c r="AB89">
        <f>HYPERLINK("https://klasma.github.io/Logging_0860/tillsynsmail/A 53203-2022 tillsynsbegäran mail.docx", "A 53203-2022")</f>
        <v/>
      </c>
    </row>
    <row r="90" ht="15" customHeight="1">
      <c r="A90" t="inlineStr">
        <is>
          <t>A 33601-2023</t>
        </is>
      </c>
      <c r="B90" t="inlineStr">
        <is>
          <t>avverkningsanmälan</t>
        </is>
      </c>
      <c r="C90" t="inlineStr">
        <is>
          <t>Föryngringsavverkning</t>
        </is>
      </c>
      <c r="D90" s="1" t="n">
        <v>45132</v>
      </c>
      <c r="E90" s="1" t="n">
        <v>46221</v>
      </c>
      <c r="F90" t="inlineStr">
        <is>
          <t>KALMAR LÄN</t>
        </is>
      </c>
      <c r="G90" t="inlineStr">
        <is>
          <t>HULTSFRED</t>
        </is>
      </c>
      <c r="I90" t="n">
        <v>2.2</v>
      </c>
      <c r="J90" t="n">
        <v>1</v>
      </c>
      <c r="K90" t="n">
        <v>0</v>
      </c>
      <c r="L90" t="n">
        <v>0</v>
      </c>
      <c r="M90" t="n">
        <v>0</v>
      </c>
      <c r="N90" t="n">
        <v>0</v>
      </c>
      <c r="O90" t="n">
        <v>0</v>
      </c>
      <c r="P90" t="n">
        <v>0</v>
      </c>
      <c r="Q90" t="n">
        <v>0</v>
      </c>
      <c r="R90" t="n">
        <v>0</v>
      </c>
      <c r="S90" t="n">
        <v>1</v>
      </c>
      <c r="T90" t="n">
        <v>1</v>
      </c>
      <c r="U90" s="2" t="inlineStr">
        <is>
          <t>Spillkråka</t>
        </is>
      </c>
      <c r="V90">
        <f>HYPERLINK("https://klasma.github.io/Logging_0860/artfynd/A 33601-2023 artfynd.xlsx", "A 33601-2023")</f>
        <v/>
      </c>
      <c r="W90">
        <f>HYPERLINK("https://klasma.github.io/Logging_0860/kartor/A 33601-2023 karta.png", "A 33601-2023")</f>
        <v/>
      </c>
      <c r="Y90">
        <f>HYPERLINK("https://klasma.github.io/Logging_0860/klagomål/A 33601-2023 FSC-klagomål.docx", "A 33601-2023")</f>
        <v/>
      </c>
      <c r="Z90">
        <f>HYPERLINK("https://klasma.github.io/Logging_0860/klagomålsmail/A 33601-2023 FSC-klagomål mail.docx", "A 33601-2023")</f>
        <v/>
      </c>
      <c r="AA90">
        <f>HYPERLINK("https://klasma.github.io/Logging_0860/tillsyn/A 33601-2023 tillsynsbegäran.docx", "A 33601-2023")</f>
        <v/>
      </c>
      <c r="AB90">
        <f>HYPERLINK("https://klasma.github.io/Logging_0860/tillsynsmail/A 33601-2023 tillsynsbegäran mail.docx", "A 33601-2023")</f>
        <v/>
      </c>
      <c r="AC90">
        <f>HYPERLINK("https://klasma.github.io/Logging_0860/fåglar/A 33601-2023 prioriterade fågelarter.docx", "A 33601-2023")</f>
        <v/>
      </c>
    </row>
    <row r="91" ht="15" customHeight="1">
      <c r="A91" t="inlineStr">
        <is>
          <t>A 4677-2024</t>
        </is>
      </c>
      <c r="B91" t="inlineStr">
        <is>
          <t>avverkningsanmälan</t>
        </is>
      </c>
      <c r="C91" t="inlineStr">
        <is>
          <t>Föryngringsavverkning</t>
        </is>
      </c>
      <c r="D91" s="1" t="n">
        <v>45328</v>
      </c>
      <c r="E91" s="1" t="n">
        <v>46221</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s="2" t="inlineStr">
        <is>
          <t>Knärot</t>
        </is>
      </c>
      <c r="V91">
        <f>HYPERLINK("https://klasma.github.io/Logging_0860/artfynd/A 4677-2024 artfynd.xlsx", "A 4677-2024")</f>
        <v/>
      </c>
      <c r="W91">
        <f>HYPERLINK("https://klasma.github.io/Logging_0860/kartor/A 4677-2024 karta.png", "A 4677-2024")</f>
        <v/>
      </c>
      <c r="X91">
        <f>HYPERLINK("https://klasma.github.io/Logging_0860/knärot/A 4677-2024 karta knärot.png", "A 4677-2024")</f>
        <v/>
      </c>
      <c r="Y91">
        <f>HYPERLINK("https://klasma.github.io/Logging_0860/klagomål/A 4677-2024 FSC-klagomål.docx", "A 4677-2024")</f>
        <v/>
      </c>
      <c r="Z91">
        <f>HYPERLINK("https://klasma.github.io/Logging_0860/klagomålsmail/A 4677-2024 FSC-klagomål mail.docx", "A 4677-2024")</f>
        <v/>
      </c>
      <c r="AA91">
        <f>HYPERLINK("https://klasma.github.io/Logging_0860/tillsyn/A 4677-2024 tillsynsbegäran.docx", "A 4677-2024")</f>
        <v/>
      </c>
      <c r="AB91">
        <f>HYPERLINK("https://klasma.github.io/Logging_0860/tillsynsmail/A 4677-2024 tillsynsbegäran mail.docx", "A 4677-2024")</f>
        <v/>
      </c>
    </row>
    <row r="92" ht="15" customHeight="1">
      <c r="A92" t="inlineStr">
        <is>
          <t>A 20928-2026</t>
        </is>
      </c>
      <c r="B92" t="inlineStr">
        <is>
          <t>avverkningsanmälan</t>
        </is>
      </c>
      <c r="C92" t="inlineStr">
        <is>
          <t>Föryngringsavverkning</t>
        </is>
      </c>
      <c r="D92" s="1" t="n">
        <v>46142</v>
      </c>
      <c r="E92" s="1" t="n">
        <v>46221</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s="2" t="inlineStr">
        <is>
          <t>Gullklöver</t>
        </is>
      </c>
      <c r="V92">
        <f>HYPERLINK("https://klasma.github.io/Logging_0860/artfynd/A 20928-2026 artfynd.xlsx", "A 20928-2026")</f>
        <v/>
      </c>
      <c r="W92">
        <f>HYPERLINK("https://klasma.github.io/Logging_0860/kartor/A 20928-2026 karta.png", "A 20928-2026")</f>
        <v/>
      </c>
      <c r="Y92">
        <f>HYPERLINK("https://klasma.github.io/Logging_0860/klagomål/A 20928-2026 FSC-klagomål.docx", "A 20928-2026")</f>
        <v/>
      </c>
      <c r="Z92">
        <f>HYPERLINK("https://klasma.github.io/Logging_0860/klagomålsmail/A 20928-2026 FSC-klagomål mail.docx", "A 20928-2026")</f>
        <v/>
      </c>
      <c r="AA92">
        <f>HYPERLINK("https://klasma.github.io/Logging_0860/tillsyn/A 20928-2026 tillsynsbegäran.docx", "A 20928-2026")</f>
        <v/>
      </c>
      <c r="AB92">
        <f>HYPERLINK("https://klasma.github.io/Logging_0860/tillsynsmail/A 20928-2026 tillsynsbegäran mail.docx", "A 20928-2026")</f>
        <v/>
      </c>
    </row>
    <row r="93" ht="15" customHeight="1">
      <c r="A93" t="inlineStr">
        <is>
          <t>A 55758-2023</t>
        </is>
      </c>
      <c r="B93" t="inlineStr">
        <is>
          <t>avverkningsanmälan</t>
        </is>
      </c>
      <c r="C93" t="inlineStr">
        <is>
          <t>Avverkning för annat ändamål</t>
        </is>
      </c>
      <c r="D93" s="1" t="n">
        <v>45239</v>
      </c>
      <c r="E93" s="1" t="n">
        <v>46221</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s="2" t="inlineStr">
        <is>
          <t>Korskovall</t>
        </is>
      </c>
      <c r="V93">
        <f>HYPERLINK("https://klasma.github.io/Logging_0860/artfynd/A 55758-2023 artfynd.xlsx", "A 55758-2023")</f>
        <v/>
      </c>
      <c r="W93">
        <f>HYPERLINK("https://klasma.github.io/Logging_0860/kartor/A 55758-2023 karta.png", "A 55758-2023")</f>
        <v/>
      </c>
      <c r="Y93">
        <f>HYPERLINK("https://klasma.github.io/Logging_0860/klagomål/A 55758-2023 FSC-klagomål.docx", "A 55758-2023")</f>
        <v/>
      </c>
      <c r="Z93">
        <f>HYPERLINK("https://klasma.github.io/Logging_0860/klagomålsmail/A 55758-2023 FSC-klagomål mail.docx", "A 55758-2023")</f>
        <v/>
      </c>
      <c r="AA93">
        <f>HYPERLINK("https://klasma.github.io/Logging_0860/tillsyn/A 55758-2023 tillsynsbegäran.docx", "A 55758-2023")</f>
        <v/>
      </c>
      <c r="AB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46221</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s="2" t="inlineStr">
        <is>
          <t>Gullviva</t>
        </is>
      </c>
      <c r="V94">
        <f>HYPERLINK("https://klasma.github.io/Logging_0860/artfynd/A 8334-2024 artfynd.xlsx", "A 8334-2024")</f>
        <v/>
      </c>
      <c r="W94">
        <f>HYPERLINK("https://klasma.github.io/Logging_0860/kartor/A 8334-2024 karta.png", "A 8334-2024")</f>
        <v/>
      </c>
      <c r="Y94">
        <f>HYPERLINK("https://klasma.github.io/Logging_0860/klagomål/A 8334-2024 FSC-klagomål.docx", "A 8334-2024")</f>
        <v/>
      </c>
      <c r="Z94">
        <f>HYPERLINK("https://klasma.github.io/Logging_0860/klagomålsmail/A 8334-2024 FSC-klagomål mail.docx", "A 8334-2024")</f>
        <v/>
      </c>
      <c r="AA94">
        <f>HYPERLINK("https://klasma.github.io/Logging_0860/tillsyn/A 8334-2024 tillsynsbegäran.docx", "A 8334-2024")</f>
        <v/>
      </c>
      <c r="AB94">
        <f>HYPERLINK("https://klasma.github.io/Logging_0860/tillsynsmail/A 8334-2024 tillsynsbegäran mail.docx", "A 8334-2024")</f>
        <v/>
      </c>
    </row>
    <row r="95" ht="15" customHeight="1">
      <c r="A95" t="inlineStr">
        <is>
          <t>A 26805-2026</t>
        </is>
      </c>
      <c r="B95" t="inlineStr">
        <is>
          <t>avverkningsanmälan</t>
        </is>
      </c>
      <c r="C95" t="inlineStr">
        <is>
          <t>Avverkning för annat ändamål</t>
        </is>
      </c>
      <c r="D95" s="1" t="n">
        <v>46185</v>
      </c>
      <c r="E95" s="1" t="n">
        <v>46221</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s="2" t="inlineStr">
        <is>
          <t>Karelsk maskros</t>
        </is>
      </c>
      <c r="V95">
        <f>HYPERLINK("https://klasma.github.io/Logging_0860/artfynd/A 26805-2026 artfynd.xlsx", "A 26805-2026")</f>
        <v/>
      </c>
      <c r="W95">
        <f>HYPERLINK("https://klasma.github.io/Logging_0860/kartor/A 26805-2026 karta.png", "A 26805-2026")</f>
        <v/>
      </c>
      <c r="Y95">
        <f>HYPERLINK("https://klasma.github.io/Logging_0860/klagomål/A 26805-2026 FSC-klagomål.docx", "A 26805-2026")</f>
        <v/>
      </c>
      <c r="Z95">
        <f>HYPERLINK("https://klasma.github.io/Logging_0860/klagomålsmail/A 26805-2026 FSC-klagomål mail.docx", "A 26805-2026")</f>
        <v/>
      </c>
      <c r="AA95">
        <f>HYPERLINK("https://klasma.github.io/Logging_0860/tillsyn/A 26805-2026 tillsynsbegäran.docx", "A 26805-2026")</f>
        <v/>
      </c>
      <c r="AB95">
        <f>HYPERLINK("https://klasma.github.io/Logging_0860/tillsynsmail/A 26805-2026 tillsynsbegäran mail.docx", "A 26805-2026")</f>
        <v/>
      </c>
    </row>
    <row r="96" ht="15" customHeight="1">
      <c r="A96" t="inlineStr">
        <is>
          <t>A 28166-2026</t>
        </is>
      </c>
      <c r="B96" t="inlineStr">
        <is>
          <t>avverkningsanmälan</t>
        </is>
      </c>
      <c r="C96" t="inlineStr">
        <is>
          <t>Föryngringsavverkning</t>
        </is>
      </c>
      <c r="D96" s="1" t="n">
        <v>46195</v>
      </c>
      <c r="E96" s="1" t="n">
        <v>46221</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s="2" t="inlineStr">
        <is>
          <t>Blåsippa</t>
        </is>
      </c>
      <c r="V96">
        <f>HYPERLINK("https://klasma.github.io/Logging_0860/artfynd/A 28166-2026 artfynd.xlsx", "A 28166-2026")</f>
        <v/>
      </c>
      <c r="W96">
        <f>HYPERLINK("https://klasma.github.io/Logging_0860/kartor/A 28166-2026 karta.png", "A 28166-2026")</f>
        <v/>
      </c>
      <c r="Y96">
        <f>HYPERLINK("https://klasma.github.io/Logging_0860/klagomål/A 28166-2026 FSC-klagomål.docx", "A 28166-2026")</f>
        <v/>
      </c>
      <c r="Z96">
        <f>HYPERLINK("https://klasma.github.io/Logging_0860/klagomålsmail/A 28166-2026 FSC-klagomål mail.docx", "A 28166-2026")</f>
        <v/>
      </c>
      <c r="AA96">
        <f>HYPERLINK("https://klasma.github.io/Logging_0860/tillsyn/A 28166-2026 tillsynsbegäran.docx", "A 28166-2026")</f>
        <v/>
      </c>
      <c r="AB96">
        <f>HYPERLINK("https://klasma.github.io/Logging_0860/tillsynsmail/A 28166-2026 tillsynsbegäran mail.docx", "A 28166-2026")</f>
        <v/>
      </c>
    </row>
    <row r="97" ht="15" customHeight="1">
      <c r="A97" t="inlineStr">
        <is>
          <t>A 4963-2025</t>
        </is>
      </c>
      <c r="B97" t="inlineStr">
        <is>
          <t>avverkningsanmälan</t>
        </is>
      </c>
      <c r="C97" t="inlineStr">
        <is>
          <t>Föryngringsavverkning</t>
        </is>
      </c>
      <c r="D97" s="1" t="n">
        <v>45690</v>
      </c>
      <c r="E97" s="1" t="n">
        <v>46221</v>
      </c>
      <c r="F97" t="inlineStr">
        <is>
          <t>KALMAR LÄN</t>
        </is>
      </c>
      <c r="G97" t="inlineStr">
        <is>
          <t>HULTSFRED</t>
        </is>
      </c>
      <c r="H97" t="inlineStr">
        <is>
          <t>Sveaskog</t>
        </is>
      </c>
      <c r="I97" t="n">
        <v>5.1</v>
      </c>
      <c r="J97" t="n">
        <v>1</v>
      </c>
      <c r="K97" t="n">
        <v>0</v>
      </c>
      <c r="L97" t="n">
        <v>0</v>
      </c>
      <c r="M97" t="n">
        <v>0</v>
      </c>
      <c r="N97" t="n">
        <v>0</v>
      </c>
      <c r="O97" t="n">
        <v>0</v>
      </c>
      <c r="P97" t="n">
        <v>0</v>
      </c>
      <c r="Q97" t="n">
        <v>0</v>
      </c>
      <c r="R97" t="n">
        <v>0</v>
      </c>
      <c r="S97" t="n">
        <v>1</v>
      </c>
      <c r="T97" t="n">
        <v>1</v>
      </c>
      <c r="U97" s="2" t="inlineStr">
        <is>
          <t>Spillkråka</t>
        </is>
      </c>
      <c r="V97">
        <f>HYPERLINK("https://klasma.github.io/Logging_0860/artfynd/A 4963-2025 artfynd.xlsx", "A 4963-2025")</f>
        <v/>
      </c>
      <c r="W97">
        <f>HYPERLINK("https://klasma.github.io/Logging_0860/kartor/A 4963-2025 karta.png", "A 4963-2025")</f>
        <v/>
      </c>
      <c r="Y97">
        <f>HYPERLINK("https://klasma.github.io/Logging_0860/klagomål/A 4963-2025 FSC-klagomål.docx", "A 4963-2025")</f>
        <v/>
      </c>
      <c r="Z97">
        <f>HYPERLINK("https://klasma.github.io/Logging_0860/klagomålsmail/A 4963-2025 FSC-klagomål mail.docx", "A 4963-2025")</f>
        <v/>
      </c>
      <c r="AA97">
        <f>HYPERLINK("https://klasma.github.io/Logging_0860/tillsyn/A 4963-2025 tillsynsbegäran.docx", "A 4963-2025")</f>
        <v/>
      </c>
      <c r="AB97">
        <f>HYPERLINK("https://klasma.github.io/Logging_0860/tillsynsmail/A 4963-2025 tillsynsbegäran mail.docx", "A 4963-2025")</f>
        <v/>
      </c>
      <c r="AC97">
        <f>HYPERLINK("https://klasma.github.io/Logging_0860/fåglar/A 4963-2025 prioriterade fågelarter.docx", "A 4963-2025")</f>
        <v/>
      </c>
    </row>
    <row r="98" ht="15" customHeight="1">
      <c r="A98" t="inlineStr">
        <is>
          <t>A 16881-2025</t>
        </is>
      </c>
      <c r="B98" t="inlineStr">
        <is>
          <t>avverkningsanmälan</t>
        </is>
      </c>
      <c r="C98" t="inlineStr">
        <is>
          <t>Avverkning för att bevara och utveckla /försöksver</t>
        </is>
      </c>
      <c r="D98" s="1" t="n">
        <v>45755</v>
      </c>
      <c r="E98" s="1" t="n">
        <v>46221</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s="2" t="inlineStr">
        <is>
          <t>Enkelbeckasin</t>
        </is>
      </c>
      <c r="V98">
        <f>HYPERLINK("https://klasma.github.io/Logging_0860/artfynd/A 16881-2025 artfynd.xlsx", "A 16881-2025")</f>
        <v/>
      </c>
      <c r="W98">
        <f>HYPERLINK("https://klasma.github.io/Logging_0860/kartor/A 16881-2025 karta.png", "A 16881-2025")</f>
        <v/>
      </c>
      <c r="Y98">
        <f>HYPERLINK("https://klasma.github.io/Logging_0860/klagomål/A 16881-2025 FSC-klagomål.docx", "A 16881-2025")</f>
        <v/>
      </c>
      <c r="Z98">
        <f>HYPERLINK("https://klasma.github.io/Logging_0860/klagomålsmail/A 16881-2025 FSC-klagomål mail.docx", "A 16881-2025")</f>
        <v/>
      </c>
      <c r="AA98">
        <f>HYPERLINK("https://klasma.github.io/Logging_0860/tillsyn/A 16881-2025 tillsynsbegäran.docx", "A 16881-2025")</f>
        <v/>
      </c>
      <c r="AB98">
        <f>HYPERLINK("https://klasma.github.io/Logging_0860/tillsynsmail/A 16881-2025 tillsynsbegäran mail.docx", "A 16881-2025")</f>
        <v/>
      </c>
      <c r="AC98">
        <f>HYPERLINK("https://klasma.github.io/Logging_0860/fåglar/A 16881-2025 prioriterade fågelarter.docx", "A 16881-2025")</f>
        <v/>
      </c>
    </row>
    <row r="99" ht="15" customHeight="1">
      <c r="A99" t="inlineStr">
        <is>
          <t>A 23082-2024</t>
        </is>
      </c>
      <c r="B99" t="inlineStr">
        <is>
          <t>avverkningsanmälan</t>
        </is>
      </c>
      <c r="C99" t="inlineStr">
        <is>
          <t>Avverkning för annat ändamål</t>
        </is>
      </c>
      <c r="D99" s="1" t="n">
        <v>45450</v>
      </c>
      <c r="E99" s="1" t="n">
        <v>46221</v>
      </c>
      <c r="F99" t="inlineStr">
        <is>
          <t>KALMAR LÄN</t>
        </is>
      </c>
      <c r="G99" t="inlineStr">
        <is>
          <t>HULTSFRED</t>
        </is>
      </c>
      <c r="I99" t="n">
        <v>1.8</v>
      </c>
      <c r="J99" t="n">
        <v>1</v>
      </c>
      <c r="K99" t="n">
        <v>0</v>
      </c>
      <c r="L99" t="n">
        <v>0</v>
      </c>
      <c r="M99" t="n">
        <v>0</v>
      </c>
      <c r="N99" t="n">
        <v>0</v>
      </c>
      <c r="O99" t="n">
        <v>0</v>
      </c>
      <c r="P99" t="n">
        <v>0</v>
      </c>
      <c r="Q99" t="n">
        <v>0</v>
      </c>
      <c r="R99" t="n">
        <v>0</v>
      </c>
      <c r="S99" t="n">
        <v>1</v>
      </c>
      <c r="T99" t="n">
        <v>1</v>
      </c>
      <c r="U99" s="2" t="inlineStr">
        <is>
          <t>Spillkråka</t>
        </is>
      </c>
      <c r="V99">
        <f>HYPERLINK("https://klasma.github.io/Logging_0860/artfynd/A 23082-2024 artfynd.xlsx", "A 23082-2024")</f>
        <v/>
      </c>
      <c r="W99">
        <f>HYPERLINK("https://klasma.github.io/Logging_0860/kartor/A 23082-2024 karta.png", "A 23082-2024")</f>
        <v/>
      </c>
      <c r="Y99">
        <f>HYPERLINK("https://klasma.github.io/Logging_0860/klagomål/A 23082-2024 FSC-klagomål.docx", "A 23082-2024")</f>
        <v/>
      </c>
      <c r="Z99">
        <f>HYPERLINK("https://klasma.github.io/Logging_0860/klagomålsmail/A 23082-2024 FSC-klagomål mail.docx", "A 23082-2024")</f>
        <v/>
      </c>
      <c r="AA99">
        <f>HYPERLINK("https://klasma.github.io/Logging_0860/tillsyn/A 23082-2024 tillsynsbegäran.docx", "A 23082-2024")</f>
        <v/>
      </c>
      <c r="AB99">
        <f>HYPERLINK("https://klasma.github.io/Logging_0860/tillsynsmail/A 23082-2024 tillsynsbegäran mail.docx", "A 23082-2024")</f>
        <v/>
      </c>
      <c r="AC99">
        <f>HYPERLINK("https://klasma.github.io/Logging_0860/fåglar/A 23082-2024 prioriterade fågelarter.docx", "A 23082-2024")</f>
        <v/>
      </c>
    </row>
    <row r="100" ht="15" customHeight="1">
      <c r="A100" t="inlineStr">
        <is>
          <t>A 41608-2025</t>
        </is>
      </c>
      <c r="B100" t="inlineStr">
        <is>
          <t>avverkningsanmälan</t>
        </is>
      </c>
      <c r="C100" t="inlineStr">
        <is>
          <t>Föryngringsavverkning</t>
        </is>
      </c>
      <c r="D100" s="1" t="n">
        <v>45901</v>
      </c>
      <c r="E100" s="1" t="n">
        <v>46221</v>
      </c>
      <c r="F100" t="inlineStr">
        <is>
          <t>KALMAR LÄN</t>
        </is>
      </c>
      <c r="G100" t="inlineStr">
        <is>
          <t>HULTSFRED</t>
        </is>
      </c>
      <c r="I100" t="n">
        <v>7.4</v>
      </c>
      <c r="J100" t="n">
        <v>1</v>
      </c>
      <c r="K100" t="n">
        <v>0</v>
      </c>
      <c r="L100" t="n">
        <v>0</v>
      </c>
      <c r="M100" t="n">
        <v>0</v>
      </c>
      <c r="N100" t="n">
        <v>0</v>
      </c>
      <c r="O100" t="n">
        <v>0</v>
      </c>
      <c r="P100" t="n">
        <v>0</v>
      </c>
      <c r="Q100" t="n">
        <v>0</v>
      </c>
      <c r="R100" t="n">
        <v>0</v>
      </c>
      <c r="S100" t="n">
        <v>1</v>
      </c>
      <c r="T100" t="n">
        <v>1</v>
      </c>
      <c r="U100" s="2" t="inlineStr">
        <is>
          <t>Tjäder</t>
        </is>
      </c>
      <c r="V100">
        <f>HYPERLINK("https://klasma.github.io/Logging_0860/artfynd/A 41608-2025 artfynd.xlsx", "A 41608-2025")</f>
        <v/>
      </c>
      <c r="W100">
        <f>HYPERLINK("https://klasma.github.io/Logging_0860/kartor/A 41608-2025 karta.png", "A 41608-2025")</f>
        <v/>
      </c>
      <c r="Y100">
        <f>HYPERLINK("https://klasma.github.io/Logging_0860/klagomål/A 41608-2025 FSC-klagomål.docx", "A 41608-2025")</f>
        <v/>
      </c>
      <c r="Z100">
        <f>HYPERLINK("https://klasma.github.io/Logging_0860/klagomålsmail/A 41608-2025 FSC-klagomål mail.docx", "A 41608-2025")</f>
        <v/>
      </c>
      <c r="AA100">
        <f>HYPERLINK("https://klasma.github.io/Logging_0860/tillsyn/A 41608-2025 tillsynsbegäran.docx", "A 41608-2025")</f>
        <v/>
      </c>
      <c r="AB100">
        <f>HYPERLINK("https://klasma.github.io/Logging_0860/tillsynsmail/A 41608-2025 tillsynsbegäran mail.docx", "A 41608-2025")</f>
        <v/>
      </c>
      <c r="AC100">
        <f>HYPERLINK("https://klasma.github.io/Logging_0860/fåglar/A 41608-2025 prioriterade fågelarter.docx", "A 41608-2025")</f>
        <v/>
      </c>
    </row>
    <row r="101" ht="15" customHeight="1">
      <c r="A101" t="inlineStr">
        <is>
          <t>A 56100-2024</t>
        </is>
      </c>
      <c r="B101" t="inlineStr">
        <is>
          <t>avverkningsanmälan</t>
        </is>
      </c>
      <c r="C101" t="inlineStr">
        <is>
          <t>Föryngringsavverkning</t>
        </is>
      </c>
      <c r="D101" s="1" t="n">
        <v>45624</v>
      </c>
      <c r="E101" s="1" t="n">
        <v>46221</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s="2" t="inlineStr">
        <is>
          <t>Kungsfågel</t>
        </is>
      </c>
      <c r="V101">
        <f>HYPERLINK("https://klasma.github.io/Logging_0860/artfynd/A 56100-2024 artfynd.xlsx", "A 56100-2024")</f>
        <v/>
      </c>
      <c r="W101">
        <f>HYPERLINK("https://klasma.github.io/Logging_0860/kartor/A 56100-2024 karta.png", "A 56100-2024")</f>
        <v/>
      </c>
      <c r="Y101">
        <f>HYPERLINK("https://klasma.github.io/Logging_0860/klagomål/A 56100-2024 FSC-klagomål.docx", "A 56100-2024")</f>
        <v/>
      </c>
      <c r="Z101">
        <f>HYPERLINK("https://klasma.github.io/Logging_0860/klagomålsmail/A 56100-2024 FSC-klagomål mail.docx", "A 56100-2024")</f>
        <v/>
      </c>
      <c r="AA101">
        <f>HYPERLINK("https://klasma.github.io/Logging_0860/tillsyn/A 56100-2024 tillsynsbegäran.docx", "A 56100-2024")</f>
        <v/>
      </c>
      <c r="AB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46221</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s="2" t="inlineStr">
        <is>
          <t>Blåsippa</t>
        </is>
      </c>
      <c r="V102">
        <f>HYPERLINK("https://klasma.github.io/Logging_0860/artfynd/A 10333-2023 artfynd.xlsx", "A 10333-2023")</f>
        <v/>
      </c>
      <c r="W102">
        <f>HYPERLINK("https://klasma.github.io/Logging_0860/kartor/A 10333-2023 karta.png", "A 10333-2023")</f>
        <v/>
      </c>
      <c r="Y102">
        <f>HYPERLINK("https://klasma.github.io/Logging_0860/klagomål/A 10333-2023 FSC-klagomål.docx", "A 10333-2023")</f>
        <v/>
      </c>
      <c r="Z102">
        <f>HYPERLINK("https://klasma.github.io/Logging_0860/klagomålsmail/A 10333-2023 FSC-klagomål mail.docx", "A 10333-2023")</f>
        <v/>
      </c>
      <c r="AA102">
        <f>HYPERLINK("https://klasma.github.io/Logging_0860/tillsyn/A 10333-2023 tillsynsbegäran.docx", "A 10333-2023")</f>
        <v/>
      </c>
      <c r="AB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46221</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s="2" t="inlineStr">
        <is>
          <t>Fläcknycklar</t>
        </is>
      </c>
      <c r="V103">
        <f>HYPERLINK("https://klasma.github.io/Logging_0860/artfynd/A 25475-2022 artfynd.xlsx", "A 25475-2022")</f>
        <v/>
      </c>
      <c r="W103">
        <f>HYPERLINK("https://klasma.github.io/Logging_0860/kartor/A 25475-2022 karta.png", "A 25475-2022")</f>
        <v/>
      </c>
      <c r="Y103">
        <f>HYPERLINK("https://klasma.github.io/Logging_0860/klagomål/A 25475-2022 FSC-klagomål.docx", "A 25475-2022")</f>
        <v/>
      </c>
      <c r="Z103">
        <f>HYPERLINK("https://klasma.github.io/Logging_0860/klagomålsmail/A 25475-2022 FSC-klagomål mail.docx", "A 25475-2022")</f>
        <v/>
      </c>
      <c r="AA103">
        <f>HYPERLINK("https://klasma.github.io/Logging_0860/tillsyn/A 25475-2022 tillsynsbegäran.docx", "A 25475-2022")</f>
        <v/>
      </c>
      <c r="AB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46221</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s="2" t="inlineStr">
        <is>
          <t>Brandticka</t>
        </is>
      </c>
      <c r="V104">
        <f>HYPERLINK("https://klasma.github.io/Logging_0860/artfynd/A 57173-2024 artfynd.xlsx", "A 57173-2024")</f>
        <v/>
      </c>
      <c r="W104">
        <f>HYPERLINK("https://klasma.github.io/Logging_0860/kartor/A 57173-2024 karta.png", "A 57173-2024")</f>
        <v/>
      </c>
      <c r="Y104">
        <f>HYPERLINK("https://klasma.github.io/Logging_0860/klagomål/A 57173-2024 FSC-klagomål.docx", "A 57173-2024")</f>
        <v/>
      </c>
      <c r="Z104">
        <f>HYPERLINK("https://klasma.github.io/Logging_0860/klagomålsmail/A 57173-2024 FSC-klagomål mail.docx", "A 57173-2024")</f>
        <v/>
      </c>
      <c r="AA104">
        <f>HYPERLINK("https://klasma.github.io/Logging_0860/tillsyn/A 57173-2024 tillsynsbegäran.docx", "A 57173-2024")</f>
        <v/>
      </c>
      <c r="AB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46221</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s="2" t="inlineStr">
        <is>
          <t>Guldlockmossa</t>
        </is>
      </c>
      <c r="V105">
        <f>HYPERLINK("https://klasma.github.io/Logging_0860/artfynd/A 58470-2024 artfynd.xlsx", "A 58470-2024")</f>
        <v/>
      </c>
      <c r="W105">
        <f>HYPERLINK("https://klasma.github.io/Logging_0860/kartor/A 58470-2024 karta.png", "A 58470-2024")</f>
        <v/>
      </c>
      <c r="Y105">
        <f>HYPERLINK("https://klasma.github.io/Logging_0860/klagomål/A 58470-2024 FSC-klagomål.docx", "A 58470-2024")</f>
        <v/>
      </c>
      <c r="Z105">
        <f>HYPERLINK("https://klasma.github.io/Logging_0860/klagomålsmail/A 58470-2024 FSC-klagomål mail.docx", "A 58470-2024")</f>
        <v/>
      </c>
      <c r="AA105">
        <f>HYPERLINK("https://klasma.github.io/Logging_0860/tillsyn/A 58470-2024 tillsynsbegäran.docx", "A 58470-2024")</f>
        <v/>
      </c>
      <c r="AB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46221</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s="2" t="inlineStr">
        <is>
          <t>Dvärgtufs</t>
        </is>
      </c>
      <c r="V106">
        <f>HYPERLINK("https://klasma.github.io/Logging_0860/artfynd/A 57001-2024 artfynd.xlsx", "A 57001-2024")</f>
        <v/>
      </c>
      <c r="W106">
        <f>HYPERLINK("https://klasma.github.io/Logging_0860/kartor/A 57001-2024 karta.png", "A 57001-2024")</f>
        <v/>
      </c>
      <c r="Y106">
        <f>HYPERLINK("https://klasma.github.io/Logging_0860/klagomål/A 57001-2024 FSC-klagomål.docx", "A 57001-2024")</f>
        <v/>
      </c>
      <c r="Z106">
        <f>HYPERLINK("https://klasma.github.io/Logging_0860/klagomålsmail/A 57001-2024 FSC-klagomål mail.docx", "A 57001-2024")</f>
        <v/>
      </c>
      <c r="AA106">
        <f>HYPERLINK("https://klasma.github.io/Logging_0860/tillsyn/A 57001-2024 tillsynsbegäran.docx", "A 57001-2024")</f>
        <v/>
      </c>
      <c r="AB106">
        <f>HYPERLINK("https://klasma.github.io/Logging_0860/tillsynsmail/A 57001-2024 tillsynsbegäran mail.docx", "A 57001-2024")</f>
        <v/>
      </c>
    </row>
    <row r="107" ht="15" customHeight="1">
      <c r="A107" t="inlineStr">
        <is>
          <t>A 2629-2023</t>
        </is>
      </c>
      <c r="B107" t="inlineStr">
        <is>
          <t>avverkningsanmälan</t>
        </is>
      </c>
      <c r="C107" t="inlineStr">
        <is>
          <t>Avverkning för annat ändamål</t>
        </is>
      </c>
      <c r="D107" s="1" t="n">
        <v>44942</v>
      </c>
      <c r="E107" s="1" t="n">
        <v>46221</v>
      </c>
      <c r="F107" t="inlineStr">
        <is>
          <t>KALMAR LÄN</t>
        </is>
      </c>
      <c r="G107" t="inlineStr">
        <is>
          <t>HULTSFRED</t>
        </is>
      </c>
      <c r="I107" t="n">
        <v>58.7</v>
      </c>
      <c r="J107" t="n">
        <v>0</v>
      </c>
      <c r="K107" t="n">
        <v>1</v>
      </c>
      <c r="L107" t="n">
        <v>0</v>
      </c>
      <c r="M107" t="n">
        <v>0</v>
      </c>
      <c r="N107" t="n">
        <v>0</v>
      </c>
      <c r="O107" t="n">
        <v>0</v>
      </c>
      <c r="P107" t="n">
        <v>0</v>
      </c>
      <c r="Q107" t="n">
        <v>0</v>
      </c>
      <c r="R107" t="n">
        <v>0</v>
      </c>
      <c r="S107" t="n">
        <v>1</v>
      </c>
      <c r="T107" t="n">
        <v>1</v>
      </c>
      <c r="U107" s="2" t="inlineStr">
        <is>
          <t>Brun nållav</t>
        </is>
      </c>
      <c r="V107">
        <f>HYPERLINK("https://klasma.github.io/Logging_0860/artfynd/A 2629-2023 artfynd.xlsx", "A 2629-2023")</f>
        <v/>
      </c>
      <c r="W107">
        <f>HYPERLINK("https://klasma.github.io/Logging_0860/kartor/A 2629-2023 karta.png", "A 2629-2023")</f>
        <v/>
      </c>
      <c r="Y107">
        <f>HYPERLINK("https://klasma.github.io/Logging_0860/klagomål/A 2629-2023 FSC-klagomål.docx", "A 2629-2023")</f>
        <v/>
      </c>
      <c r="Z107">
        <f>HYPERLINK("https://klasma.github.io/Logging_0860/klagomålsmail/A 2629-2023 FSC-klagomål mail.docx", "A 2629-2023")</f>
        <v/>
      </c>
      <c r="AA107">
        <f>HYPERLINK("https://klasma.github.io/Logging_0860/tillsyn/A 2629-2023 tillsynsbegäran.docx", "A 2629-2023")</f>
        <v/>
      </c>
      <c r="AB107">
        <f>HYPERLINK("https://klasma.github.io/Logging_0860/tillsynsmail/A 2629-2023 tillsynsbegäran mail.docx", "A 2629-2023")</f>
        <v/>
      </c>
    </row>
    <row r="108" ht="15" customHeight="1">
      <c r="A108" t="inlineStr">
        <is>
          <t>S 2271-2022</t>
        </is>
      </c>
      <c r="B108" t="inlineStr">
        <is>
          <t>samrådsanmälan</t>
        </is>
      </c>
      <c r="C108" t="inlineStr">
        <is>
          <t>Åtgärd i nyckelbiotop</t>
        </is>
      </c>
      <c r="D108" s="1" t="n">
        <v>44683</v>
      </c>
      <c r="E108" s="1" t="n">
        <v>46221</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s="2" t="inlineStr">
        <is>
          <t>Gullpudra</t>
        </is>
      </c>
      <c r="V108">
        <f>HYPERLINK("https://klasma.github.io/Logging_0860/artfynd/S 2271-2022 artfynd.xlsx", "S 2271-2022")</f>
        <v/>
      </c>
      <c r="W108">
        <f>HYPERLINK("https://klasma.github.io/Logging_0860/kartor/S 2271-2022 karta.png", "S 2271-2022")</f>
        <v/>
      </c>
      <c r="Y108">
        <f>HYPERLINK("https://klasma.github.io/Logging_0860/klagomål/S 2271-2022 FSC-klagomål.docx", "S 2271-2022")</f>
        <v/>
      </c>
      <c r="Z108">
        <f>HYPERLINK("https://klasma.github.io/Logging_0860/klagomålsmail/S 2271-2022 FSC-klagomål mail.docx", "S 2271-2022")</f>
        <v/>
      </c>
      <c r="AA108">
        <f>HYPERLINK("https://klasma.github.io/Logging_0860/tillsyn/S 2271-2022 tillsynsbegäran.docx", "S 2271-2022")</f>
        <v/>
      </c>
      <c r="AB108">
        <f>HYPERLINK("https://klasma.github.io/Logging_0860/tillsynsmail/S 2271-2022 tillsynsbegäran mail.docx", "S 2271-2022")</f>
        <v/>
      </c>
    </row>
    <row r="109" ht="15" customHeight="1">
      <c r="A109" t="inlineStr">
        <is>
          <t>S 86-2025</t>
        </is>
      </c>
      <c r="B109" t="inlineStr">
        <is>
          <t>samrådsanmälan</t>
        </is>
      </c>
      <c r="C109" t="inlineStr">
        <is>
          <t>Annan skogsbruksåtgärd</t>
        </is>
      </c>
      <c r="D109" s="1" t="n">
        <v>45671</v>
      </c>
      <c r="E109" s="1" t="n">
        <v>46221</v>
      </c>
      <c r="F109" t="inlineStr">
        <is>
          <t>KALMAR LÄN</t>
        </is>
      </c>
      <c r="G109" t="inlineStr">
        <is>
          <t>HULTSFRED</t>
        </is>
      </c>
      <c r="I109" t="n">
        <v>1</v>
      </c>
      <c r="J109" t="n">
        <v>0</v>
      </c>
      <c r="K109" t="n">
        <v>0</v>
      </c>
      <c r="L109" t="n">
        <v>1</v>
      </c>
      <c r="M109" t="n">
        <v>0</v>
      </c>
      <c r="N109" t="n">
        <v>0</v>
      </c>
      <c r="O109" t="n">
        <v>0</v>
      </c>
      <c r="P109" t="n">
        <v>0</v>
      </c>
      <c r="Q109" t="n">
        <v>1</v>
      </c>
      <c r="R109" t="n">
        <v>0</v>
      </c>
      <c r="S109" t="n">
        <v>1</v>
      </c>
      <c r="T109" t="n">
        <v>1</v>
      </c>
      <c r="U109" s="2" t="inlineStr">
        <is>
          <t>Spindelört</t>
        </is>
      </c>
      <c r="V109">
        <f>HYPERLINK("https://klasma.github.io/Logging_0860/artfynd/S 86-2025 artfynd.xlsx", "S 86-2025")</f>
        <v/>
      </c>
      <c r="W109">
        <f>HYPERLINK("https://klasma.github.io/Logging_0860/kartor/S 86-2025 karta.png", "S 86-2025")</f>
        <v/>
      </c>
      <c r="Y109">
        <f>HYPERLINK("https://klasma.github.io/Logging_0860/klagomål/S 86-2025 FSC-klagomål.docx", "S 86-2025")</f>
        <v/>
      </c>
      <c r="Z109">
        <f>HYPERLINK("https://klasma.github.io/Logging_0860/klagomålsmail/S 86-2025 FSC-klagomål mail.docx", "S 86-2025")</f>
        <v/>
      </c>
      <c r="AA109">
        <f>HYPERLINK("https://klasma.github.io/Logging_0860/tillsyn/S 86-2025 tillsynsbegäran.docx", "S 86-2025")</f>
        <v/>
      </c>
      <c r="AB109">
        <f>HYPERLINK("https://klasma.github.io/Logging_0860/tillsynsmail/S 86-2025 tillsynsbegäran mail.docx", "S 86-2025")</f>
        <v/>
      </c>
    </row>
    <row r="110" ht="15" customHeight="1">
      <c r="A110" t="inlineStr">
        <is>
          <t>S 2667-2024</t>
        </is>
      </c>
      <c r="B110" t="inlineStr">
        <is>
          <t>samrådsanmälan</t>
        </is>
      </c>
      <c r="C110" t="inlineStr">
        <is>
          <t>Askåterföring</t>
        </is>
      </c>
      <c r="D110" s="1" t="n">
        <v>45478</v>
      </c>
      <c r="E110" s="1" t="n">
        <v>46221</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46221</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46221</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46221</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46221</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46221</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46221</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46221</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56140-2021</t>
        </is>
      </c>
      <c r="B118" t="inlineStr">
        <is>
          <t>avverkningsanmälan</t>
        </is>
      </c>
      <c r="C118" t="inlineStr">
        <is>
          <t>Föryngringsavverkning</t>
        </is>
      </c>
      <c r="D118" s="1" t="n">
        <v>44477</v>
      </c>
      <c r="E118" s="1" t="n">
        <v>46221</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41728-2022</t>
        </is>
      </c>
      <c r="B119" t="inlineStr">
        <is>
          <t>avverkningsanmälan</t>
        </is>
      </c>
      <c r="C119" t="inlineStr">
        <is>
          <t>Föryngringsavverkning</t>
        </is>
      </c>
      <c r="D119" s="1" t="n">
        <v>44827</v>
      </c>
      <c r="E119" s="1" t="n">
        <v>46221</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41729-2022</t>
        </is>
      </c>
      <c r="B120" t="inlineStr">
        <is>
          <t>avverkningsanmälan</t>
        </is>
      </c>
      <c r="C120" t="inlineStr">
        <is>
          <t>Föryngringsavverkning</t>
        </is>
      </c>
      <c r="D120" s="1" t="n">
        <v>44827</v>
      </c>
      <c r="E120" s="1" t="n">
        <v>46221</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43108-2022</t>
        </is>
      </c>
      <c r="B121" t="inlineStr">
        <is>
          <t>avverkningsanmälan</t>
        </is>
      </c>
      <c r="C121" t="inlineStr">
        <is>
          <t>Föryngringsavverkning</t>
        </is>
      </c>
      <c r="D121" s="1" t="n">
        <v>44833</v>
      </c>
      <c r="E121" s="1" t="n">
        <v>46221</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298-2022</t>
        </is>
      </c>
      <c r="B122" t="inlineStr">
        <is>
          <t>avverkningsanmälan</t>
        </is>
      </c>
      <c r="C122" t="inlineStr">
        <is>
          <t>Föryngringsavverkning</t>
        </is>
      </c>
      <c r="D122" s="1" t="n">
        <v>44564</v>
      </c>
      <c r="E122" s="1" t="n">
        <v>46221</v>
      </c>
      <c r="F122" t="inlineStr">
        <is>
          <t>KALMAR LÄN</t>
        </is>
      </c>
      <c r="G122" t="inlineStr">
        <is>
          <t>HULTSFRED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46221</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46221</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46221</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46221</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46221</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46221</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46221</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46221</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46221</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46221</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46221</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57186-2021</t>
        </is>
      </c>
      <c r="B134" t="inlineStr">
        <is>
          <t>avverkningsanmälan</t>
        </is>
      </c>
      <c r="C134" t="inlineStr">
        <is>
          <t>Föryngringsavverkning</t>
        </is>
      </c>
      <c r="D134" s="1" t="n">
        <v>44482</v>
      </c>
      <c r="E134" s="1" t="n">
        <v>46221</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46221</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16813-2022</t>
        </is>
      </c>
      <c r="B136" t="inlineStr">
        <is>
          <t>avverkningsanmälan</t>
        </is>
      </c>
      <c r="C136" t="inlineStr">
        <is>
          <t>Föryngringsavverkning</t>
        </is>
      </c>
      <c r="D136" s="1" t="n">
        <v>44673</v>
      </c>
      <c r="E136" s="1" t="n">
        <v>46221</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46221</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46221</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44200-2022</t>
        </is>
      </c>
      <c r="B139" t="inlineStr">
        <is>
          <t>avverkningsanmälan</t>
        </is>
      </c>
      <c r="C139" t="inlineStr">
        <is>
          <t>Föryngringsavverkning</t>
        </is>
      </c>
      <c r="D139" s="1" t="n">
        <v>44839</v>
      </c>
      <c r="E139" s="1" t="n">
        <v>46221</v>
      </c>
      <c r="F139" t="inlineStr">
        <is>
          <t>KALMAR LÄN</t>
        </is>
      </c>
      <c r="G139" t="inlineStr">
        <is>
          <t>HULTSFRED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11566-2022</t>
        </is>
      </c>
      <c r="B140" t="inlineStr">
        <is>
          <t>avverkningsanmälan</t>
        </is>
      </c>
      <c r="C140" t="inlineStr">
        <is>
          <t>Föryngringsavverkning</t>
        </is>
      </c>
      <c r="D140" s="1" t="n">
        <v>44631</v>
      </c>
      <c r="E140" s="1" t="n">
        <v>46221</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59134-2021</t>
        </is>
      </c>
      <c r="B141" t="inlineStr">
        <is>
          <t>avverkningsanmälan</t>
        </is>
      </c>
      <c r="C141" t="inlineStr">
        <is>
          <t>Föryngringsavverkning</t>
        </is>
      </c>
      <c r="D141" s="1" t="n">
        <v>44490</v>
      </c>
      <c r="E141" s="1" t="n">
        <v>46221</v>
      </c>
      <c r="F141" t="inlineStr">
        <is>
          <t>KALMAR LÄN</t>
        </is>
      </c>
      <c r="G141" t="inlineStr">
        <is>
          <t>HULTSFRED</t>
        </is>
      </c>
      <c r="I141" t="n">
        <v>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46221</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46221</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46221</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46221</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46221</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46221</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46221</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46221</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46221</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46221</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46221</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46221</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46221</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46221</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46221</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46221</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46221</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46221</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46221</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46221</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46221</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46221</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46221</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57184-2021</t>
        </is>
      </c>
      <c r="B165" t="inlineStr">
        <is>
          <t>avverkningsanmälan</t>
        </is>
      </c>
      <c r="C165" t="inlineStr">
        <is>
          <t>Föryngringsavverkning</t>
        </is>
      </c>
      <c r="D165" s="1" t="n">
        <v>44482</v>
      </c>
      <c r="E165" s="1" t="n">
        <v>46221</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27810-2022</t>
        </is>
      </c>
      <c r="B166" t="inlineStr">
        <is>
          <t>avverkningsanmälan</t>
        </is>
      </c>
      <c r="C166" t="inlineStr">
        <is>
          <t>Föryngringsavverkning</t>
        </is>
      </c>
      <c r="D166" s="1" t="n">
        <v>44743</v>
      </c>
      <c r="E166" s="1" t="n">
        <v>46221</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46221</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46221</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46221</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46060-2021</t>
        </is>
      </c>
      <c r="B170" t="inlineStr">
        <is>
          <t>avverkningsanmälan</t>
        </is>
      </c>
      <c r="C170" t="inlineStr">
        <is>
          <t>Föryngringsavverkning</t>
        </is>
      </c>
      <c r="D170" s="1" t="n">
        <v>44441</v>
      </c>
      <c r="E170" s="1" t="n">
        <v>46221</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60719-2021</t>
        </is>
      </c>
      <c r="B171" t="inlineStr">
        <is>
          <t>avverkningsanmälan</t>
        </is>
      </c>
      <c r="C171" t="inlineStr">
        <is>
          <t>Föryngringsavverkning</t>
        </is>
      </c>
      <c r="D171" s="1" t="n">
        <v>44496</v>
      </c>
      <c r="E171" s="1" t="n">
        <v>46221</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54733-2021</t>
        </is>
      </c>
      <c r="B172" t="inlineStr">
        <is>
          <t>avverkningsanmälan</t>
        </is>
      </c>
      <c r="C172" t="inlineStr">
        <is>
          <t>Föryngringsavverkning</t>
        </is>
      </c>
      <c r="D172" s="1" t="n">
        <v>44473</v>
      </c>
      <c r="E172" s="1" t="n">
        <v>46221</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66721-2021</t>
        </is>
      </c>
      <c r="B173" t="inlineStr">
        <is>
          <t>avverkningsanmälan</t>
        </is>
      </c>
      <c r="C173" t="inlineStr">
        <is>
          <t>Föryngringsavverkning</t>
        </is>
      </c>
      <c r="D173" s="1" t="n">
        <v>44519</v>
      </c>
      <c r="E173" s="1" t="n">
        <v>46221</v>
      </c>
      <c r="F173" t="inlineStr">
        <is>
          <t>KALMAR LÄN</t>
        </is>
      </c>
      <c r="G173" t="inlineStr">
        <is>
          <t>HULTSFRED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66725-2021</t>
        </is>
      </c>
      <c r="B174" t="inlineStr">
        <is>
          <t>avverkningsanmälan</t>
        </is>
      </c>
      <c r="C174" t="inlineStr">
        <is>
          <t>Föryngringsavverkning</t>
        </is>
      </c>
      <c r="D174" s="1" t="n">
        <v>44519</v>
      </c>
      <c r="E174" s="1" t="n">
        <v>46221</v>
      </c>
      <c r="F174" t="inlineStr">
        <is>
          <t>KALMAR LÄN</t>
        </is>
      </c>
      <c r="G174" t="inlineStr">
        <is>
          <t>HULTSFRED</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66728-2021</t>
        </is>
      </c>
      <c r="B175" t="inlineStr">
        <is>
          <t>avverkningsanmälan</t>
        </is>
      </c>
      <c r="C175" t="inlineStr">
        <is>
          <t>Föryngringsavverkning</t>
        </is>
      </c>
      <c r="D175" s="1" t="n">
        <v>44520</v>
      </c>
      <c r="E175" s="1" t="n">
        <v>46221</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46221</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46221</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46221</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46221</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46221</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73794-2021</t>
        </is>
      </c>
      <c r="B181" t="inlineStr">
        <is>
          <t>avverkningsanmälan</t>
        </is>
      </c>
      <c r="C181" t="inlineStr">
        <is>
          <t>Föryngringsavverkning</t>
        </is>
      </c>
      <c r="D181" s="1" t="n">
        <v>44552</v>
      </c>
      <c r="E181" s="1" t="n">
        <v>46221</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40596-2021</t>
        </is>
      </c>
      <c r="B182" t="inlineStr">
        <is>
          <t>avverkningsanmälan</t>
        </is>
      </c>
      <c r="C182" t="inlineStr">
        <is>
          <t>Föryngringsavverkning</t>
        </is>
      </c>
      <c r="D182" s="1" t="n">
        <v>44420</v>
      </c>
      <c r="E182" s="1" t="n">
        <v>46221</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46221</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46221</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68090-2021</t>
        </is>
      </c>
      <c r="B185" t="inlineStr">
        <is>
          <t>avverkningsanmälan</t>
        </is>
      </c>
      <c r="C185" t="inlineStr">
        <is>
          <t>Föryngringsavverkning</t>
        </is>
      </c>
      <c r="D185" s="1" t="n">
        <v>44526</v>
      </c>
      <c r="E185" s="1" t="n">
        <v>46221</v>
      </c>
      <c r="F185" t="inlineStr">
        <is>
          <t>KALMAR LÄN</t>
        </is>
      </c>
      <c r="G185" t="inlineStr">
        <is>
          <t>HULTSFRED</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12976-2022</t>
        </is>
      </c>
      <c r="B186" t="inlineStr">
        <is>
          <t>avverkningsanmälan</t>
        </is>
      </c>
      <c r="C186" t="inlineStr">
        <is>
          <t>Föryngringsavverkning</t>
        </is>
      </c>
      <c r="D186" s="1" t="n">
        <v>44643</v>
      </c>
      <c r="E186" s="1" t="n">
        <v>46221</v>
      </c>
      <c r="F186" t="inlineStr">
        <is>
          <t>KALMAR LÄN</t>
        </is>
      </c>
      <c r="G186" t="inlineStr">
        <is>
          <t>HULTSFRED</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46221</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46221</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46221</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46221</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46221</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46221</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46221</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40428-2021</t>
        </is>
      </c>
      <c r="B194" t="inlineStr">
        <is>
          <t>avverkningsanmälan</t>
        </is>
      </c>
      <c r="C194" t="inlineStr">
        <is>
          <t>Föryngringsavverkning</t>
        </is>
      </c>
      <c r="D194" s="1" t="n">
        <v>44419</v>
      </c>
      <c r="E194" s="1" t="n">
        <v>46221</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13473-2022</t>
        </is>
      </c>
      <c r="B195" t="inlineStr">
        <is>
          <t>avverkningsanmälan</t>
        </is>
      </c>
      <c r="C195" t="inlineStr">
        <is>
          <t>Föryngringsavverkning</t>
        </is>
      </c>
      <c r="D195" s="1" t="n">
        <v>44645</v>
      </c>
      <c r="E195" s="1" t="n">
        <v>46221</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46457-2023</t>
        </is>
      </c>
      <c r="B196" t="inlineStr">
        <is>
          <t>avverkningsanmälan</t>
        </is>
      </c>
      <c r="C196" t="inlineStr">
        <is>
          <t>Föryngringsavverkning</t>
        </is>
      </c>
      <c r="D196" s="1" t="n">
        <v>45197</v>
      </c>
      <c r="E196" s="1" t="n">
        <v>46221</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28878-2022</t>
        </is>
      </c>
      <c r="B197" t="inlineStr">
        <is>
          <t>avverkningsanmälan</t>
        </is>
      </c>
      <c r="C197" t="inlineStr">
        <is>
          <t>Föryngringsavverkning</t>
        </is>
      </c>
      <c r="D197" s="1" t="n">
        <v>44749</v>
      </c>
      <c r="E197" s="1" t="n">
        <v>46221</v>
      </c>
      <c r="F197" t="inlineStr">
        <is>
          <t>KALMAR LÄN</t>
        </is>
      </c>
      <c r="G197" t="inlineStr">
        <is>
          <t>HULTSFRED</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5788-2024</t>
        </is>
      </c>
      <c r="B198" t="inlineStr">
        <is>
          <t>avverkningsanmälan</t>
        </is>
      </c>
      <c r="C198" t="inlineStr">
        <is>
          <t>Föryngringsavverkning</t>
        </is>
      </c>
      <c r="D198" s="1" t="n">
        <v>45335</v>
      </c>
      <c r="E198" s="1" t="n">
        <v>46221</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5794-2024</t>
        </is>
      </c>
      <c r="B199" t="inlineStr">
        <is>
          <t>avverkningsanmälan</t>
        </is>
      </c>
      <c r="C199" t="inlineStr">
        <is>
          <t>Föryngringsavverkning</t>
        </is>
      </c>
      <c r="D199" s="1" t="n">
        <v>45335</v>
      </c>
      <c r="E199" s="1" t="n">
        <v>46221</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57808-2023</t>
        </is>
      </c>
      <c r="B200" t="inlineStr">
        <is>
          <t>avverkningsanmälan</t>
        </is>
      </c>
      <c r="C200" t="inlineStr">
        <is>
          <t>Föryngringsavverkning</t>
        </is>
      </c>
      <c r="D200" s="1" t="n">
        <v>45247</v>
      </c>
      <c r="E200" s="1" t="n">
        <v>46221</v>
      </c>
      <c r="F200" t="inlineStr">
        <is>
          <t>KALMAR LÄN</t>
        </is>
      </c>
      <c r="G200" t="inlineStr">
        <is>
          <t>HULTSFRED</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19479-2023</t>
        </is>
      </c>
      <c r="B201" t="inlineStr">
        <is>
          <t>avverkningsanmälan</t>
        </is>
      </c>
      <c r="C201" t="inlineStr">
        <is>
          <t>Föryngringsavverkning</t>
        </is>
      </c>
      <c r="D201" s="1" t="n">
        <v>45050</v>
      </c>
      <c r="E201" s="1" t="n">
        <v>46221</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6513-2024</t>
        </is>
      </c>
      <c r="B202" t="inlineStr">
        <is>
          <t>avverkningsanmälan</t>
        </is>
      </c>
      <c r="C202" t="inlineStr">
        <is>
          <t>Föryngringsavverkning</t>
        </is>
      </c>
      <c r="D202" s="1" t="n">
        <v>45340</v>
      </c>
      <c r="E202" s="1" t="n">
        <v>46221</v>
      </c>
      <c r="F202" t="inlineStr">
        <is>
          <t>KALMAR LÄN</t>
        </is>
      </c>
      <c r="G202" t="inlineStr">
        <is>
          <t>HULTSFRED</t>
        </is>
      </c>
      <c r="I202" t="n">
        <v>7.4</v>
      </c>
      <c r="J202" t="n">
        <v>0</v>
      </c>
      <c r="K202" t="n">
        <v>0</v>
      </c>
      <c r="L202" t="n">
        <v>0</v>
      </c>
      <c r="M202" t="n">
        <v>0</v>
      </c>
      <c r="N202" t="n">
        <v>0</v>
      </c>
      <c r="O202" t="n">
        <v>0</v>
      </c>
      <c r="P202" t="n">
        <v>0</v>
      </c>
      <c r="Q202" t="n">
        <v>0</v>
      </c>
      <c r="R202" t="n">
        <v>0</v>
      </c>
      <c r="S202" t="n">
        <v>0</v>
      </c>
      <c r="T202" t="n">
        <v>0</v>
      </c>
      <c r="U202" s="2" t="inlineStr"/>
    </row>
    <row r="203" ht="15" customHeight="1">
      <c r="A203" t="inlineStr">
        <is>
          <t>A 6514-2024</t>
        </is>
      </c>
      <c r="B203" t="inlineStr">
        <is>
          <t>avverkningsanmälan</t>
        </is>
      </c>
      <c r="C203" t="inlineStr">
        <is>
          <t>Föryngringsavverkning</t>
        </is>
      </c>
      <c r="D203" s="1" t="n">
        <v>45340</v>
      </c>
      <c r="E203" s="1" t="n">
        <v>46221</v>
      </c>
      <c r="F203" t="inlineStr">
        <is>
          <t>KALMAR LÄN</t>
        </is>
      </c>
      <c r="G203" t="inlineStr">
        <is>
          <t>HULTSFRED</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9325-2025</t>
        </is>
      </c>
      <c r="B204" t="inlineStr">
        <is>
          <t>avverkningsanmälan</t>
        </is>
      </c>
      <c r="C204" t="inlineStr">
        <is>
          <t>Föryngringsavverkning</t>
        </is>
      </c>
      <c r="D204" s="1" t="n">
        <v>45714</v>
      </c>
      <c r="E204" s="1" t="n">
        <v>46221</v>
      </c>
      <c r="F204" t="inlineStr">
        <is>
          <t>KALMAR LÄN</t>
        </is>
      </c>
      <c r="G204" t="inlineStr">
        <is>
          <t>HULTSFRED</t>
        </is>
      </c>
      <c r="H204" t="inlineStr">
        <is>
          <t>Sveaskog</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41219-2023</t>
        </is>
      </c>
      <c r="B205" t="inlineStr">
        <is>
          <t>avverkningsanmälan</t>
        </is>
      </c>
      <c r="C205" t="inlineStr">
        <is>
          <t>Föryngringsavverkning</t>
        </is>
      </c>
      <c r="D205" s="1" t="n">
        <v>45174</v>
      </c>
      <c r="E205" s="1" t="n">
        <v>46221</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43284-2022</t>
        </is>
      </c>
      <c r="B206" t="inlineStr">
        <is>
          <t>avverkningsanmälan</t>
        </is>
      </c>
      <c r="C206" t="inlineStr">
        <is>
          <t>Föryngringsavverkning</t>
        </is>
      </c>
      <c r="D206" s="1" t="n">
        <v>44834</v>
      </c>
      <c r="E206" s="1" t="n">
        <v>46221</v>
      </c>
      <c r="F206" t="inlineStr">
        <is>
          <t>KALMAR LÄN</t>
        </is>
      </c>
      <c r="G206" t="inlineStr">
        <is>
          <t>HULTSFRED</t>
        </is>
      </c>
      <c r="I206" t="n">
        <v>10.5</v>
      </c>
      <c r="J206" t="n">
        <v>0</v>
      </c>
      <c r="K206" t="n">
        <v>0</v>
      </c>
      <c r="L206" t="n">
        <v>0</v>
      </c>
      <c r="M206" t="n">
        <v>0</v>
      </c>
      <c r="N206" t="n">
        <v>0</v>
      </c>
      <c r="O206" t="n">
        <v>0</v>
      </c>
      <c r="P206" t="n">
        <v>0</v>
      </c>
      <c r="Q206" t="n">
        <v>0</v>
      </c>
      <c r="R206" t="n">
        <v>0</v>
      </c>
      <c r="S206" t="n">
        <v>0</v>
      </c>
      <c r="T206" t="n">
        <v>0</v>
      </c>
      <c r="U206" s="2" t="inlineStr"/>
    </row>
    <row r="207" ht="15" customHeight="1">
      <c r="A207" t="inlineStr">
        <is>
          <t>A 32345-2022</t>
        </is>
      </c>
      <c r="B207" t="inlineStr">
        <is>
          <t>avverkningsanmälan</t>
        </is>
      </c>
      <c r="C207" t="inlineStr">
        <is>
          <t>Föryngringsavverkning</t>
        </is>
      </c>
      <c r="D207" s="1" t="n">
        <v>44781</v>
      </c>
      <c r="E207" s="1" t="n">
        <v>46221</v>
      </c>
      <c r="F207" t="inlineStr">
        <is>
          <t>KALMAR LÄN</t>
        </is>
      </c>
      <c r="G207" t="inlineStr">
        <is>
          <t>HULTSFRED</t>
        </is>
      </c>
      <c r="I207" t="n">
        <v>11.7</v>
      </c>
      <c r="J207" t="n">
        <v>0</v>
      </c>
      <c r="K207" t="n">
        <v>0</v>
      </c>
      <c r="L207" t="n">
        <v>0</v>
      </c>
      <c r="M207" t="n">
        <v>0</v>
      </c>
      <c r="N207" t="n">
        <v>0</v>
      </c>
      <c r="O207" t="n">
        <v>0</v>
      </c>
      <c r="P207" t="n">
        <v>0</v>
      </c>
      <c r="Q207" t="n">
        <v>0</v>
      </c>
      <c r="R207" t="n">
        <v>0</v>
      </c>
      <c r="S207" t="n">
        <v>0</v>
      </c>
      <c r="T207" t="n">
        <v>0</v>
      </c>
      <c r="U207" s="2" t="inlineStr"/>
    </row>
    <row r="208" ht="15" customHeight="1">
      <c r="A208" t="inlineStr">
        <is>
          <t>A 9594-2025</t>
        </is>
      </c>
      <c r="B208" t="inlineStr">
        <is>
          <t>avverkningsanmälan</t>
        </is>
      </c>
      <c r="C208" t="inlineStr">
        <is>
          <t>Föryngringsavverkning</t>
        </is>
      </c>
      <c r="D208" s="1" t="n">
        <v>45715</v>
      </c>
      <c r="E208" s="1" t="n">
        <v>46221</v>
      </c>
      <c r="F208" t="inlineStr">
        <is>
          <t>KALMAR LÄN</t>
        </is>
      </c>
      <c r="G208" t="inlineStr">
        <is>
          <t>HULTSFRED</t>
        </is>
      </c>
      <c r="H208" t="inlineStr">
        <is>
          <t>Sveaskog</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9369-2024</t>
        </is>
      </c>
      <c r="B209" t="inlineStr">
        <is>
          <t>avverkningsanmälan</t>
        </is>
      </c>
      <c r="C209" t="inlineStr">
        <is>
          <t>Föryngringsavverkning</t>
        </is>
      </c>
      <c r="D209" s="1" t="n">
        <v>45359</v>
      </c>
      <c r="E209" s="1" t="n">
        <v>46221</v>
      </c>
      <c r="F209" t="inlineStr">
        <is>
          <t>KALMAR LÄN</t>
        </is>
      </c>
      <c r="G209" t="inlineStr">
        <is>
          <t>HULTSFRED</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24148-2023</t>
        </is>
      </c>
      <c r="B210" t="inlineStr">
        <is>
          <t>avverkningsanmälan</t>
        </is>
      </c>
      <c r="C210" t="inlineStr">
        <is>
          <t>Föryngringsavverkning</t>
        </is>
      </c>
      <c r="D210" s="1" t="n">
        <v>45079</v>
      </c>
      <c r="E210" s="1" t="n">
        <v>46221</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38971-2022</t>
        </is>
      </c>
      <c r="B211" t="inlineStr">
        <is>
          <t>avverkningsanmälan</t>
        </is>
      </c>
      <c r="C211" t="inlineStr">
        <is>
          <t>Föryngringsavverkning</t>
        </is>
      </c>
      <c r="D211" s="1" t="n">
        <v>44816</v>
      </c>
      <c r="E211" s="1" t="n">
        <v>46221</v>
      </c>
      <c r="F211" t="inlineStr">
        <is>
          <t>KALMAR LÄN</t>
        </is>
      </c>
      <c r="G211" t="inlineStr">
        <is>
          <t>HULTSFRED</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9590-2024</t>
        </is>
      </c>
      <c r="B212" t="inlineStr">
        <is>
          <t>avverkningsanmälan</t>
        </is>
      </c>
      <c r="C212" t="inlineStr">
        <is>
          <t>Föryngringsavverkning</t>
        </is>
      </c>
      <c r="D212" s="1" t="n">
        <v>45360</v>
      </c>
      <c r="E212" s="1" t="n">
        <v>46221</v>
      </c>
      <c r="F212" t="inlineStr">
        <is>
          <t>KALMAR LÄN</t>
        </is>
      </c>
      <c r="G212" t="inlineStr">
        <is>
          <t>HULTSFRED</t>
        </is>
      </c>
      <c r="H212" t="inlineStr">
        <is>
          <t>Sveaskog</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58383-2022</t>
        </is>
      </c>
      <c r="B213" t="inlineStr">
        <is>
          <t>avverkningsanmälan</t>
        </is>
      </c>
      <c r="C213" t="inlineStr">
        <is>
          <t>Föryngringsavverkning</t>
        </is>
      </c>
      <c r="D213" s="1" t="n">
        <v>44901</v>
      </c>
      <c r="E213" s="1" t="n">
        <v>46221</v>
      </c>
      <c r="F213" t="inlineStr">
        <is>
          <t>KALMAR LÄN</t>
        </is>
      </c>
      <c r="G213" t="inlineStr">
        <is>
          <t>HULTSFRED</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13781-2024</t>
        </is>
      </c>
      <c r="B214" t="inlineStr">
        <is>
          <t>avverkningsanmälan</t>
        </is>
      </c>
      <c r="C214" t="inlineStr">
        <is>
          <t>Föryngringsavverkning</t>
        </is>
      </c>
      <c r="D214" s="1" t="n">
        <v>45391</v>
      </c>
      <c r="E214" s="1" t="n">
        <v>46221</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53726-2022</t>
        </is>
      </c>
      <c r="B215" t="inlineStr">
        <is>
          <t>avverkningsanmälan</t>
        </is>
      </c>
      <c r="C215" t="inlineStr">
        <is>
          <t>Föryngringsavverkning</t>
        </is>
      </c>
      <c r="D215" s="1" t="n">
        <v>44880</v>
      </c>
      <c r="E215" s="1" t="n">
        <v>46221</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33441-2023</t>
        </is>
      </c>
      <c r="B216" t="inlineStr">
        <is>
          <t>avverkningsanmälan</t>
        </is>
      </c>
      <c r="C216" t="inlineStr">
        <is>
          <t>Föryngringsavverkning</t>
        </is>
      </c>
      <c r="D216" s="1" t="n">
        <v>45129</v>
      </c>
      <c r="E216" s="1" t="n">
        <v>46221</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28216-2024</t>
        </is>
      </c>
      <c r="B217" t="inlineStr">
        <is>
          <t>avverkningsanmälan</t>
        </is>
      </c>
      <c r="C217" t="inlineStr">
        <is>
          <t>Föryngringsavverkning</t>
        </is>
      </c>
      <c r="D217" s="1" t="n">
        <v>45477</v>
      </c>
      <c r="E217" s="1" t="n">
        <v>46221</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s="2" t="inlineStr"/>
    </row>
    <row r="218" ht="15" customHeight="1">
      <c r="A218" t="inlineStr">
        <is>
          <t>A 28224-2024</t>
        </is>
      </c>
      <c r="B218" t="inlineStr">
        <is>
          <t>avverkningsanmälan</t>
        </is>
      </c>
      <c r="C218" t="inlineStr">
        <is>
          <t>Föryngringsavverkning</t>
        </is>
      </c>
      <c r="D218" s="1" t="n">
        <v>45477</v>
      </c>
      <c r="E218" s="1" t="n">
        <v>46221</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44977-2021</t>
        </is>
      </c>
      <c r="B219" t="inlineStr">
        <is>
          <t>avverkningsanmälan</t>
        </is>
      </c>
      <c r="C219" t="inlineStr">
        <is>
          <t>Avverkning för annat ändamål</t>
        </is>
      </c>
      <c r="D219" s="1" t="n">
        <v>44438</v>
      </c>
      <c r="E219" s="1" t="n">
        <v>46221</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49703-2022</t>
        </is>
      </c>
      <c r="B220" t="inlineStr">
        <is>
          <t>avverkningsanmälan</t>
        </is>
      </c>
      <c r="C220" t="inlineStr">
        <is>
          <t>Föryngringsavverkning</t>
        </is>
      </c>
      <c r="D220" s="1" t="n">
        <v>44862</v>
      </c>
      <c r="E220" s="1" t="n">
        <v>46221</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144-2023</t>
        </is>
      </c>
      <c r="B221" t="inlineStr">
        <is>
          <t>avverkningsanmälan</t>
        </is>
      </c>
      <c r="C221" t="inlineStr">
        <is>
          <t>Avverkning för att bevara och utveckla /försöksver</t>
        </is>
      </c>
      <c r="D221" s="1" t="n">
        <v>44928</v>
      </c>
      <c r="E221" s="1" t="n">
        <v>46221</v>
      </c>
      <c r="F221" t="inlineStr">
        <is>
          <t>KALMAR LÄN</t>
        </is>
      </c>
      <c r="G221" t="inlineStr">
        <is>
          <t>HULTSFRED</t>
        </is>
      </c>
      <c r="H221" t="inlineStr">
        <is>
          <t>Sveaskog</t>
        </is>
      </c>
      <c r="I221" t="n">
        <v>1.7</v>
      </c>
      <c r="J221" t="n">
        <v>0</v>
      </c>
      <c r="K221" t="n">
        <v>0</v>
      </c>
      <c r="L221" t="n">
        <v>0</v>
      </c>
      <c r="M221" t="n">
        <v>0</v>
      </c>
      <c r="N221" t="n">
        <v>0</v>
      </c>
      <c r="O221" t="n">
        <v>0</v>
      </c>
      <c r="P221" t="n">
        <v>0</v>
      </c>
      <c r="Q221" t="n">
        <v>0</v>
      </c>
      <c r="R221" t="n">
        <v>0</v>
      </c>
      <c r="S221" t="n">
        <v>0</v>
      </c>
      <c r="T221" t="n">
        <v>0</v>
      </c>
      <c r="U221" s="2" t="inlineStr"/>
    </row>
    <row r="222" ht="15" customHeight="1">
      <c r="A222" t="inlineStr">
        <is>
          <t>A 63074-2023</t>
        </is>
      </c>
      <c r="B222" t="inlineStr">
        <is>
          <t>avverkningsanmälan</t>
        </is>
      </c>
      <c r="C222" t="inlineStr">
        <is>
          <t>Föryngringsavverkning</t>
        </is>
      </c>
      <c r="D222" s="1" t="n">
        <v>45273</v>
      </c>
      <c r="E222" s="1" t="n">
        <v>46221</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62635-2023</t>
        </is>
      </c>
      <c r="B223" t="inlineStr">
        <is>
          <t>avverkningsanmälan</t>
        </is>
      </c>
      <c r="C223" t="inlineStr">
        <is>
          <t>Föryngringsavverkning</t>
        </is>
      </c>
      <c r="D223" s="1" t="n">
        <v>45271</v>
      </c>
      <c r="E223" s="1" t="n">
        <v>46221</v>
      </c>
      <c r="F223" t="inlineStr">
        <is>
          <t>KALMAR LÄN</t>
        </is>
      </c>
      <c r="G223" t="inlineStr">
        <is>
          <t>HULTSFRED</t>
        </is>
      </c>
      <c r="I223" t="n">
        <v>4.2</v>
      </c>
      <c r="J223" t="n">
        <v>0</v>
      </c>
      <c r="K223" t="n">
        <v>0</v>
      </c>
      <c r="L223" t="n">
        <v>0</v>
      </c>
      <c r="M223" t="n">
        <v>0</v>
      </c>
      <c r="N223" t="n">
        <v>0</v>
      </c>
      <c r="O223" t="n">
        <v>0</v>
      </c>
      <c r="P223" t="n">
        <v>0</v>
      </c>
      <c r="Q223" t="n">
        <v>0</v>
      </c>
      <c r="R223" t="n">
        <v>0</v>
      </c>
      <c r="S223" t="n">
        <v>0</v>
      </c>
      <c r="T223" t="n">
        <v>0</v>
      </c>
      <c r="U223" s="2" t="inlineStr"/>
    </row>
    <row r="224" ht="15" customHeight="1">
      <c r="A224" t="inlineStr">
        <is>
          <t>A 68088-2021</t>
        </is>
      </c>
      <c r="B224" t="inlineStr">
        <is>
          <t>avverkningsanmälan</t>
        </is>
      </c>
      <c r="C224" t="inlineStr">
        <is>
          <t>Föryngringsavverkning</t>
        </is>
      </c>
      <c r="D224" s="1" t="n">
        <v>44526</v>
      </c>
      <c r="E224" s="1" t="n">
        <v>46221</v>
      </c>
      <c r="F224" t="inlineStr">
        <is>
          <t>KALMAR LÄN</t>
        </is>
      </c>
      <c r="G224" t="inlineStr">
        <is>
          <t>HULTSFRED</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34038-2023</t>
        </is>
      </c>
      <c r="B225" t="inlineStr">
        <is>
          <t>avverkningsanmälan</t>
        </is>
      </c>
      <c r="C225" t="inlineStr">
        <is>
          <t>Föryngringsavverkning</t>
        </is>
      </c>
      <c r="D225" s="1" t="n">
        <v>45135</v>
      </c>
      <c r="E225" s="1" t="n">
        <v>46221</v>
      </c>
      <c r="F225" t="inlineStr">
        <is>
          <t>KALMAR LÄN</t>
        </is>
      </c>
      <c r="G225" t="inlineStr">
        <is>
          <t>HULTSFRED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28214-2024</t>
        </is>
      </c>
      <c r="B226" t="inlineStr">
        <is>
          <t>avverkningsanmälan</t>
        </is>
      </c>
      <c r="C226" t="inlineStr">
        <is>
          <t>Föryngringsavverkning</t>
        </is>
      </c>
      <c r="D226" s="1" t="n">
        <v>45477</v>
      </c>
      <c r="E226" s="1" t="n">
        <v>46221</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40006-2023</t>
        </is>
      </c>
      <c r="B227" t="inlineStr">
        <is>
          <t>avverkningsanmälan</t>
        </is>
      </c>
      <c r="C227" t="inlineStr">
        <is>
          <t>Avverkning för annat ändamål</t>
        </is>
      </c>
      <c r="D227" s="1" t="n">
        <v>45168</v>
      </c>
      <c r="E227" s="1" t="n">
        <v>46221</v>
      </c>
      <c r="F227" t="inlineStr">
        <is>
          <t>KALMAR LÄN</t>
        </is>
      </c>
      <c r="G227" t="inlineStr">
        <is>
          <t>HULTSFRED</t>
        </is>
      </c>
      <c r="H227" t="inlineStr">
        <is>
          <t>Sveaskog</t>
        </is>
      </c>
      <c r="I227" t="n">
        <v>9.199999999999999</v>
      </c>
      <c r="J227" t="n">
        <v>0</v>
      </c>
      <c r="K227" t="n">
        <v>0</v>
      </c>
      <c r="L227" t="n">
        <v>0</v>
      </c>
      <c r="M227" t="n">
        <v>0</v>
      </c>
      <c r="N227" t="n">
        <v>0</v>
      </c>
      <c r="O227" t="n">
        <v>0</v>
      </c>
      <c r="P227" t="n">
        <v>0</v>
      </c>
      <c r="Q227" t="n">
        <v>0</v>
      </c>
      <c r="R227" t="n">
        <v>0</v>
      </c>
      <c r="S227" t="n">
        <v>0</v>
      </c>
      <c r="T227" t="n">
        <v>0</v>
      </c>
      <c r="U227" s="2" t="inlineStr"/>
    </row>
    <row r="228" ht="15" customHeight="1">
      <c r="A228" t="inlineStr">
        <is>
          <t>A 54209-2021</t>
        </is>
      </c>
      <c r="B228" t="inlineStr">
        <is>
          <t>avverkningsanmälan</t>
        </is>
      </c>
      <c r="C228" t="inlineStr">
        <is>
          <t>Föryngringsavverkning</t>
        </is>
      </c>
      <c r="D228" s="1" t="n">
        <v>44470</v>
      </c>
      <c r="E228" s="1" t="n">
        <v>46221</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68818-2021</t>
        </is>
      </c>
      <c r="B229" t="inlineStr">
        <is>
          <t>avverkningsanmälan</t>
        </is>
      </c>
      <c r="C229" t="inlineStr">
        <is>
          <t>Föryngringsavverkning</t>
        </is>
      </c>
      <c r="D229" s="1" t="n">
        <v>44530</v>
      </c>
      <c r="E229" s="1" t="n">
        <v>46221</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54944-2021</t>
        </is>
      </c>
      <c r="B230" t="inlineStr">
        <is>
          <t>avverkningsanmälan</t>
        </is>
      </c>
      <c r="C230" t="inlineStr">
        <is>
          <t>Föryngringsavverkning</t>
        </is>
      </c>
      <c r="D230" s="1" t="n">
        <v>44474</v>
      </c>
      <c r="E230" s="1" t="n">
        <v>46221</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52897-2024</t>
        </is>
      </c>
      <c r="B231" t="inlineStr">
        <is>
          <t>avverkningsanmälan</t>
        </is>
      </c>
      <c r="C231" t="inlineStr">
        <is>
          <t>Föryngringsavverkning</t>
        </is>
      </c>
      <c r="D231" s="1" t="n">
        <v>45610</v>
      </c>
      <c r="E231" s="1" t="n">
        <v>46221</v>
      </c>
      <c r="F231" t="inlineStr">
        <is>
          <t>KALMAR LÄN</t>
        </is>
      </c>
      <c r="G231" t="inlineStr">
        <is>
          <t>HULTSFRED</t>
        </is>
      </c>
      <c r="I231" t="n">
        <v>2.4</v>
      </c>
      <c r="J231" t="n">
        <v>0</v>
      </c>
      <c r="K231" t="n">
        <v>0</v>
      </c>
      <c r="L231" t="n">
        <v>0</v>
      </c>
      <c r="M231" t="n">
        <v>0</v>
      </c>
      <c r="N231" t="n">
        <v>0</v>
      </c>
      <c r="O231" t="n">
        <v>0</v>
      </c>
      <c r="P231" t="n">
        <v>0</v>
      </c>
      <c r="Q231" t="n">
        <v>0</v>
      </c>
      <c r="R231" t="n">
        <v>0</v>
      </c>
      <c r="S231" t="n">
        <v>0</v>
      </c>
      <c r="T231" t="n">
        <v>0</v>
      </c>
      <c r="U231" s="2" t="inlineStr"/>
    </row>
    <row r="232" ht="15" customHeight="1">
      <c r="A232" t="inlineStr">
        <is>
          <t>A 20947-2024</t>
        </is>
      </c>
      <c r="B232" t="inlineStr">
        <is>
          <t>avverkningsanmälan</t>
        </is>
      </c>
      <c r="C232" t="inlineStr">
        <is>
          <t>Föryngringsavverkning</t>
        </is>
      </c>
      <c r="D232" s="1" t="n">
        <v>45439</v>
      </c>
      <c r="E232" s="1" t="n">
        <v>46221</v>
      </c>
      <c r="F232" t="inlineStr">
        <is>
          <t>KALMAR LÄN</t>
        </is>
      </c>
      <c r="G232" t="inlineStr">
        <is>
          <t>HULTSFRED</t>
        </is>
      </c>
      <c r="H232" t="inlineStr">
        <is>
          <t>Övriga Aktiebolag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61549-2022</t>
        </is>
      </c>
      <c r="B233" t="inlineStr">
        <is>
          <t>avverkningsanmälan</t>
        </is>
      </c>
      <c r="C233" t="inlineStr">
        <is>
          <t>Föryngringsavverkning</t>
        </is>
      </c>
      <c r="D233" s="1" t="n">
        <v>44916</v>
      </c>
      <c r="E233" s="1" t="n">
        <v>46221</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17330-2024</t>
        </is>
      </c>
      <c r="B234" t="inlineStr">
        <is>
          <t>avverkningsanmälan</t>
        </is>
      </c>
      <c r="C234" t="inlineStr">
        <is>
          <t>Föryngringsavverkning</t>
        </is>
      </c>
      <c r="D234" s="1" t="n">
        <v>45414</v>
      </c>
      <c r="E234" s="1" t="n">
        <v>46221</v>
      </c>
      <c r="F234" t="inlineStr">
        <is>
          <t>KALMAR LÄN</t>
        </is>
      </c>
      <c r="G234" t="inlineStr">
        <is>
          <t>HULTSFRED</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4835-2022</t>
        </is>
      </c>
      <c r="B235" t="inlineStr">
        <is>
          <t>avverkningsanmälan</t>
        </is>
      </c>
      <c r="C235" t="inlineStr">
        <is>
          <t>Föryngringsavverkning</t>
        </is>
      </c>
      <c r="D235" s="1" t="n">
        <v>44592</v>
      </c>
      <c r="E235" s="1" t="n">
        <v>46221</v>
      </c>
      <c r="F235" t="inlineStr">
        <is>
          <t>KALMAR LÄN</t>
        </is>
      </c>
      <c r="G235" t="inlineStr">
        <is>
          <t>HULTSFRED</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25020-2023</t>
        </is>
      </c>
      <c r="B236" t="inlineStr">
        <is>
          <t>avverkningsanmälan</t>
        </is>
      </c>
      <c r="C236" t="inlineStr">
        <is>
          <t>Föryngringsavverkning</t>
        </is>
      </c>
      <c r="D236" s="1" t="n">
        <v>45085</v>
      </c>
      <c r="E236" s="1" t="n">
        <v>46221</v>
      </c>
      <c r="F236" t="inlineStr">
        <is>
          <t>KALMAR LÄN</t>
        </is>
      </c>
      <c r="G236" t="inlineStr">
        <is>
          <t>HULTSFRED</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58476-2024</t>
        </is>
      </c>
      <c r="B237" t="inlineStr">
        <is>
          <t>avverkningsanmälan</t>
        </is>
      </c>
      <c r="C237" t="inlineStr">
        <is>
          <t>Föryngringsavverkning</t>
        </is>
      </c>
      <c r="D237" s="1" t="n">
        <v>45635</v>
      </c>
      <c r="E237" s="1" t="n">
        <v>46221</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59464-2024</t>
        </is>
      </c>
      <c r="B238" t="inlineStr">
        <is>
          <t>avverkningsanmälan</t>
        </is>
      </c>
      <c r="C238" t="inlineStr">
        <is>
          <t>Föryngringsavverkning</t>
        </is>
      </c>
      <c r="D238" s="1" t="n">
        <v>45638</v>
      </c>
      <c r="E238" s="1" t="n">
        <v>46221</v>
      </c>
      <c r="F238" t="inlineStr">
        <is>
          <t>KALMAR LÄN</t>
        </is>
      </c>
      <c r="G238" t="inlineStr">
        <is>
          <t>HULTSFRED</t>
        </is>
      </c>
      <c r="H238" t="inlineStr">
        <is>
          <t>Sveaskog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20036-2023</t>
        </is>
      </c>
      <c r="B239" t="inlineStr">
        <is>
          <t>avverkningsanmälan</t>
        </is>
      </c>
      <c r="C239" t="inlineStr">
        <is>
          <t>Föryngringsavverkning</t>
        </is>
      </c>
      <c r="D239" s="1" t="n">
        <v>45054</v>
      </c>
      <c r="E239" s="1" t="n">
        <v>46221</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36931-2024</t>
        </is>
      </c>
      <c r="B240" t="inlineStr">
        <is>
          <t>avverkningsanmälan</t>
        </is>
      </c>
      <c r="C240" t="inlineStr">
        <is>
          <t>Föryngringsavverkning</t>
        </is>
      </c>
      <c r="D240" s="1" t="n">
        <v>45538</v>
      </c>
      <c r="E240" s="1" t="n">
        <v>46221</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51586-2024</t>
        </is>
      </c>
      <c r="B241" t="inlineStr">
        <is>
          <t>avverkningsanmälan</t>
        </is>
      </c>
      <c r="C241" t="inlineStr">
        <is>
          <t>Föryngringsavverkning</t>
        </is>
      </c>
      <c r="D241" s="1" t="n">
        <v>45604</v>
      </c>
      <c r="E241" s="1" t="n">
        <v>46221</v>
      </c>
      <c r="F241" t="inlineStr">
        <is>
          <t>KALMAR LÄN</t>
        </is>
      </c>
      <c r="G241" t="inlineStr">
        <is>
          <t>HULTSFRED</t>
        </is>
      </c>
      <c r="I241" t="n">
        <v>4.7</v>
      </c>
      <c r="J241" t="n">
        <v>0</v>
      </c>
      <c r="K241" t="n">
        <v>0</v>
      </c>
      <c r="L241" t="n">
        <v>0</v>
      </c>
      <c r="M241" t="n">
        <v>0</v>
      </c>
      <c r="N241" t="n">
        <v>0</v>
      </c>
      <c r="O241" t="n">
        <v>0</v>
      </c>
      <c r="P241" t="n">
        <v>0</v>
      </c>
      <c r="Q241" t="n">
        <v>0</v>
      </c>
      <c r="R241" t="n">
        <v>0</v>
      </c>
      <c r="S241" t="n">
        <v>0</v>
      </c>
      <c r="T241" t="n">
        <v>0</v>
      </c>
      <c r="U241" s="2" t="inlineStr"/>
    </row>
    <row r="242" ht="15" customHeight="1">
      <c r="A242" t="inlineStr">
        <is>
          <t>A 26777-2025</t>
        </is>
      </c>
      <c r="B242" t="inlineStr">
        <is>
          <t>avverkningsanmälan</t>
        </is>
      </c>
      <c r="C242" t="inlineStr">
        <is>
          <t>Föryngringsavverkning</t>
        </is>
      </c>
      <c r="D242" s="1" t="n">
        <v>45810</v>
      </c>
      <c r="E242" s="1" t="n">
        <v>46221</v>
      </c>
      <c r="F242" t="inlineStr">
        <is>
          <t>KALMAR LÄN</t>
        </is>
      </c>
      <c r="G242" t="inlineStr">
        <is>
          <t>HULTSFRED</t>
        </is>
      </c>
      <c r="H242" t="inlineStr">
        <is>
          <t>Sveaskog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21714-2024</t>
        </is>
      </c>
      <c r="B243" t="inlineStr">
        <is>
          <t>avverkningsanmälan</t>
        </is>
      </c>
      <c r="C243" t="inlineStr">
        <is>
          <t>Föryngringsavverkning</t>
        </is>
      </c>
      <c r="D243" s="1" t="n">
        <v>45442</v>
      </c>
      <c r="E243" s="1" t="n">
        <v>46221</v>
      </c>
      <c r="F243" t="inlineStr">
        <is>
          <t>KALMAR LÄN</t>
        </is>
      </c>
      <c r="G243" t="inlineStr">
        <is>
          <t>HULTSFRED</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37153-2023</t>
        </is>
      </c>
      <c r="B244" t="inlineStr">
        <is>
          <t>avverkningsanmälan</t>
        </is>
      </c>
      <c r="C244" t="inlineStr">
        <is>
          <t>Föryngringsavverkning</t>
        </is>
      </c>
      <c r="D244" s="1" t="n">
        <v>45155</v>
      </c>
      <c r="E244" s="1" t="n">
        <v>46221</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37169-2024</t>
        </is>
      </c>
      <c r="B245" t="inlineStr">
        <is>
          <t>avverkningsanmälan</t>
        </is>
      </c>
      <c r="C245" t="inlineStr">
        <is>
          <t>Avverkning för annat ändamål</t>
        </is>
      </c>
      <c r="D245" s="1" t="n">
        <v>45539</v>
      </c>
      <c r="E245" s="1" t="n">
        <v>46221</v>
      </c>
      <c r="F245" t="inlineStr">
        <is>
          <t>KALMAR LÄN</t>
        </is>
      </c>
      <c r="G245" t="inlineStr">
        <is>
          <t>HULTSFRED</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3891-2026</t>
        </is>
      </c>
      <c r="B246" t="inlineStr">
        <is>
          <t>avverkningsanmälan</t>
        </is>
      </c>
      <c r="C246" t="inlineStr">
        <is>
          <t>Föryngringsavverkning</t>
        </is>
      </c>
      <c r="D246" s="1" t="n">
        <v>46043</v>
      </c>
      <c r="E246" s="1" t="n">
        <v>46221</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3874-2026</t>
        </is>
      </c>
      <c r="B247" t="inlineStr">
        <is>
          <t>avverkningsanmälan</t>
        </is>
      </c>
      <c r="C247" t="inlineStr">
        <is>
          <t>Föryngringsavverkning</t>
        </is>
      </c>
      <c r="D247" s="1" t="n">
        <v>46043</v>
      </c>
      <c r="E247" s="1" t="n">
        <v>46221</v>
      </c>
      <c r="F247" t="inlineStr">
        <is>
          <t>KALMAR LÄN</t>
        </is>
      </c>
      <c r="G247" t="inlineStr">
        <is>
          <t>HULTSFRED</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26710-2025</t>
        </is>
      </c>
      <c r="B248" t="inlineStr">
        <is>
          <t>avverkningsanmälan</t>
        </is>
      </c>
      <c r="C248" t="inlineStr">
        <is>
          <t>Föryngringsavverkning</t>
        </is>
      </c>
      <c r="D248" s="1" t="n">
        <v>45810</v>
      </c>
      <c r="E248" s="1" t="n">
        <v>46221</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3873-2026</t>
        </is>
      </c>
      <c r="B249" t="inlineStr">
        <is>
          <t>avverkningsanmälan</t>
        </is>
      </c>
      <c r="C249" t="inlineStr">
        <is>
          <t>Föryngringsavverkning</t>
        </is>
      </c>
      <c r="D249" s="1" t="n">
        <v>46043</v>
      </c>
      <c r="E249" s="1" t="n">
        <v>46221</v>
      </c>
      <c r="F249" t="inlineStr">
        <is>
          <t>KALMAR LÄN</t>
        </is>
      </c>
      <c r="G249" t="inlineStr">
        <is>
          <t>HULTSFRED</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4116-2026</t>
        </is>
      </c>
      <c r="B250" t="inlineStr">
        <is>
          <t>avverkningsanmälan</t>
        </is>
      </c>
      <c r="C250" t="inlineStr">
        <is>
          <t>Föryngringsavverkning</t>
        </is>
      </c>
      <c r="D250" s="1" t="n">
        <v>46044</v>
      </c>
      <c r="E250" s="1" t="n">
        <v>46221</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42462-2023</t>
        </is>
      </c>
      <c r="B251" t="inlineStr">
        <is>
          <t>avverkningsanmälan</t>
        </is>
      </c>
      <c r="C251" t="inlineStr">
        <is>
          <t>Föryngringsavverkning</t>
        </is>
      </c>
      <c r="D251" s="1" t="n">
        <v>45175</v>
      </c>
      <c r="E251" s="1" t="n">
        <v>46221</v>
      </c>
      <c r="F251" t="inlineStr">
        <is>
          <t>KALMAR LÄN</t>
        </is>
      </c>
      <c r="G251" t="inlineStr">
        <is>
          <t>HULTSFRED</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3337-2023</t>
        </is>
      </c>
      <c r="B252" t="inlineStr">
        <is>
          <t>avverkningsanmälan</t>
        </is>
      </c>
      <c r="C252" t="inlineStr">
        <is>
          <t>Föryngringsavverkning</t>
        </is>
      </c>
      <c r="D252" s="1" t="n">
        <v>44949</v>
      </c>
      <c r="E252" s="1" t="n">
        <v>46221</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38705-2024</t>
        </is>
      </c>
      <c r="B253" t="inlineStr">
        <is>
          <t>avverkningsanmälan</t>
        </is>
      </c>
      <c r="C253" t="inlineStr">
        <is>
          <t>Föryngringsavverkning</t>
        </is>
      </c>
      <c r="D253" s="1" t="n">
        <v>45547</v>
      </c>
      <c r="E253" s="1" t="n">
        <v>46221</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12328-2023</t>
        </is>
      </c>
      <c r="B254" t="inlineStr">
        <is>
          <t>avverkningsanmälan</t>
        </is>
      </c>
      <c r="C254" t="inlineStr">
        <is>
          <t>Föryngringsavverkning</t>
        </is>
      </c>
      <c r="D254" s="1" t="n">
        <v>44999</v>
      </c>
      <c r="E254" s="1" t="n">
        <v>46221</v>
      </c>
      <c r="F254" t="inlineStr">
        <is>
          <t>KALMAR LÄN</t>
        </is>
      </c>
      <c r="G254" t="inlineStr">
        <is>
          <t>HULTSFRED</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262-2022</t>
        </is>
      </c>
      <c r="B255" t="inlineStr">
        <is>
          <t>avverkningsanmälan</t>
        </is>
      </c>
      <c r="C255" t="inlineStr">
        <is>
          <t>Föryngringsavverkning</t>
        </is>
      </c>
      <c r="D255" s="1" t="n">
        <v>44565</v>
      </c>
      <c r="E255" s="1" t="n">
        <v>46221</v>
      </c>
      <c r="F255" t="inlineStr">
        <is>
          <t>KALMAR LÄN</t>
        </is>
      </c>
      <c r="G255" t="inlineStr">
        <is>
          <t>HULTSFRED</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4121-2026</t>
        </is>
      </c>
      <c r="B256" t="inlineStr">
        <is>
          <t>avverkningsanmälan</t>
        </is>
      </c>
      <c r="C256" t="inlineStr">
        <is>
          <t>Föryngringsavverkning</t>
        </is>
      </c>
      <c r="D256" s="1" t="n">
        <v>46044</v>
      </c>
      <c r="E256" s="1" t="n">
        <v>46221</v>
      </c>
      <c r="F256" t="inlineStr">
        <is>
          <t>KALMAR LÄN</t>
        </is>
      </c>
      <c r="G256" t="inlineStr">
        <is>
          <t>HULTSFRED</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33235-2023</t>
        </is>
      </c>
      <c r="B257" t="inlineStr">
        <is>
          <t>avverkningsanmälan</t>
        </is>
      </c>
      <c r="C257" t="inlineStr">
        <is>
          <t>Föryngringsavverkning</t>
        </is>
      </c>
      <c r="D257" s="1" t="n">
        <v>45127</v>
      </c>
      <c r="E257" s="1" t="n">
        <v>46221</v>
      </c>
      <c r="F257" t="inlineStr">
        <is>
          <t>KALMAR LÄN</t>
        </is>
      </c>
      <c r="G257" t="inlineStr">
        <is>
          <t>HULTSFRED</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4083-2026</t>
        </is>
      </c>
      <c r="B258" t="inlineStr">
        <is>
          <t>avverkningsanmälan</t>
        </is>
      </c>
      <c r="C258" t="inlineStr">
        <is>
          <t>Föryngringsavverkning</t>
        </is>
      </c>
      <c r="D258" s="1" t="n">
        <v>46044</v>
      </c>
      <c r="E258" s="1" t="n">
        <v>46221</v>
      </c>
      <c r="F258" t="inlineStr">
        <is>
          <t>KALMAR LÄN</t>
        </is>
      </c>
      <c r="G258" t="inlineStr">
        <is>
          <t>HULTSFRED</t>
        </is>
      </c>
      <c r="I258" t="n">
        <v>7.6</v>
      </c>
      <c r="J258" t="n">
        <v>0</v>
      </c>
      <c r="K258" t="n">
        <v>0</v>
      </c>
      <c r="L258" t="n">
        <v>0</v>
      </c>
      <c r="M258" t="n">
        <v>0</v>
      </c>
      <c r="N258" t="n">
        <v>0</v>
      </c>
      <c r="O258" t="n">
        <v>0</v>
      </c>
      <c r="P258" t="n">
        <v>0</v>
      </c>
      <c r="Q258" t="n">
        <v>0</v>
      </c>
      <c r="R258" t="n">
        <v>0</v>
      </c>
      <c r="S258" t="n">
        <v>0</v>
      </c>
      <c r="T258" t="n">
        <v>0</v>
      </c>
      <c r="U258" s="2" t="inlineStr"/>
    </row>
    <row r="259" ht="15" customHeight="1">
      <c r="A259" t="inlineStr">
        <is>
          <t>A 4113-2026</t>
        </is>
      </c>
      <c r="B259" t="inlineStr">
        <is>
          <t>avverkningsanmälan</t>
        </is>
      </c>
      <c r="C259" t="inlineStr">
        <is>
          <t>Föryngringsavverkning</t>
        </is>
      </c>
      <c r="D259" s="1" t="n">
        <v>46044</v>
      </c>
      <c r="E259" s="1" t="n">
        <v>46221</v>
      </c>
      <c r="F259" t="inlineStr">
        <is>
          <t>KALMAR LÄN</t>
        </is>
      </c>
      <c r="G259" t="inlineStr">
        <is>
          <t>HULTSFRED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31423-2024</t>
        </is>
      </c>
      <c r="B260" t="inlineStr">
        <is>
          <t>avverkningsanmälan</t>
        </is>
      </c>
      <c r="C260" t="inlineStr">
        <is>
          <t>Föryngringsavverkning</t>
        </is>
      </c>
      <c r="D260" s="1" t="n">
        <v>45505</v>
      </c>
      <c r="E260" s="1" t="n">
        <v>46221</v>
      </c>
      <c r="F260" t="inlineStr">
        <is>
          <t>KALMAR LÄN</t>
        </is>
      </c>
      <c r="G260" t="inlineStr">
        <is>
          <t>HULTSFRED</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27531-2025</t>
        </is>
      </c>
      <c r="B261" t="inlineStr">
        <is>
          <t>avverkningsanmälan</t>
        </is>
      </c>
      <c r="C261" t="inlineStr">
        <is>
          <t>Föryngringsavverkning</t>
        </is>
      </c>
      <c r="D261" s="1" t="n">
        <v>45813</v>
      </c>
      <c r="E261" s="1" t="n">
        <v>46221</v>
      </c>
      <c r="F261" t="inlineStr">
        <is>
          <t>KALMAR LÄN</t>
        </is>
      </c>
      <c r="G261" t="inlineStr">
        <is>
          <t>HULTSFRED</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42770-2024</t>
        </is>
      </c>
      <c r="B262" t="inlineStr">
        <is>
          <t>avverkningsanmälan</t>
        </is>
      </c>
      <c r="C262" t="inlineStr">
        <is>
          <t>Avverkning för annat ändamål</t>
        </is>
      </c>
      <c r="D262" s="1" t="n">
        <v>45566</v>
      </c>
      <c r="E262" s="1" t="n">
        <v>46221</v>
      </c>
      <c r="F262" t="inlineStr">
        <is>
          <t>KALMAR LÄN</t>
        </is>
      </c>
      <c r="G262" t="inlineStr">
        <is>
          <t>HULTSFRED</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5000-2025</t>
        </is>
      </c>
      <c r="B263" t="inlineStr">
        <is>
          <t>avverkningsanmälan</t>
        </is>
      </c>
      <c r="C263" t="inlineStr">
        <is>
          <t>Föryngringsavverkning</t>
        </is>
      </c>
      <c r="D263" s="1" t="n">
        <v>45691</v>
      </c>
      <c r="E263" s="1" t="n">
        <v>46221</v>
      </c>
      <c r="F263" t="inlineStr">
        <is>
          <t>KALMAR LÄN</t>
        </is>
      </c>
      <c r="G263" t="inlineStr">
        <is>
          <t>HULTSFRED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33960-2025</t>
        </is>
      </c>
      <c r="B264" t="inlineStr">
        <is>
          <t>avverkningsanmälan</t>
        </is>
      </c>
      <c r="C264" t="inlineStr">
        <is>
          <t>Föryngringsavverkning</t>
        </is>
      </c>
      <c r="D264" s="1" t="n">
        <v>45842</v>
      </c>
      <c r="E264" s="1" t="n">
        <v>46221</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19679-2024</t>
        </is>
      </c>
      <c r="B265" t="inlineStr">
        <is>
          <t>avverkningsanmälan</t>
        </is>
      </c>
      <c r="C265" t="inlineStr">
        <is>
          <t>Föryngringsavverkning</t>
        </is>
      </c>
      <c r="D265" s="1" t="n">
        <v>45432</v>
      </c>
      <c r="E265" s="1" t="n">
        <v>46221</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16890-2025</t>
        </is>
      </c>
      <c r="B266" t="inlineStr">
        <is>
          <t>avverkningsanmälan</t>
        </is>
      </c>
      <c r="C266" t="inlineStr">
        <is>
          <t>Avverkning för att bevara och utveckla /försöksver</t>
        </is>
      </c>
      <c r="D266" s="1" t="n">
        <v>45755</v>
      </c>
      <c r="E266" s="1" t="n">
        <v>46221</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16495-2023</t>
        </is>
      </c>
      <c r="B267" t="inlineStr">
        <is>
          <t>avverkningsanmälan</t>
        </is>
      </c>
      <c r="C267" t="inlineStr">
        <is>
          <t>Avverkning för annat ändamål</t>
        </is>
      </c>
      <c r="D267" s="1" t="n">
        <v>45026</v>
      </c>
      <c r="E267" s="1" t="n">
        <v>46221</v>
      </c>
      <c r="F267" t="inlineStr">
        <is>
          <t>KALMAR LÄN</t>
        </is>
      </c>
      <c r="G267" t="inlineStr">
        <is>
          <t>HULTSFRED</t>
        </is>
      </c>
      <c r="I267" t="n">
        <v>12.6</v>
      </c>
      <c r="J267" t="n">
        <v>0</v>
      </c>
      <c r="K267" t="n">
        <v>0</v>
      </c>
      <c r="L267" t="n">
        <v>0</v>
      </c>
      <c r="M267" t="n">
        <v>0</v>
      </c>
      <c r="N267" t="n">
        <v>0</v>
      </c>
      <c r="O267" t="n">
        <v>0</v>
      </c>
      <c r="P267" t="n">
        <v>0</v>
      </c>
      <c r="Q267" t="n">
        <v>0</v>
      </c>
      <c r="R267" t="n">
        <v>0</v>
      </c>
      <c r="S267" t="n">
        <v>0</v>
      </c>
      <c r="T267" t="n">
        <v>0</v>
      </c>
      <c r="U267" s="2" t="inlineStr"/>
    </row>
    <row r="268" ht="15" customHeight="1">
      <c r="A268" t="inlineStr">
        <is>
          <t>A 46465-2023</t>
        </is>
      </c>
      <c r="B268" t="inlineStr">
        <is>
          <t>avverkningsanmälan</t>
        </is>
      </c>
      <c r="C268" t="inlineStr">
        <is>
          <t>Föryngringsavverkning</t>
        </is>
      </c>
      <c r="D268" s="1" t="n">
        <v>45197</v>
      </c>
      <c r="E268" s="1" t="n">
        <v>46221</v>
      </c>
      <c r="F268" t="inlineStr">
        <is>
          <t>KALMAR LÄN</t>
        </is>
      </c>
      <c r="G268" t="inlineStr">
        <is>
          <t>HULTSFRED</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35305-2023</t>
        </is>
      </c>
      <c r="B269" t="inlineStr">
        <is>
          <t>avverkningsanmälan</t>
        </is>
      </c>
      <c r="C269" t="inlineStr">
        <is>
          <t>Föryngringsavverkning</t>
        </is>
      </c>
      <c r="D269" s="1" t="n">
        <v>45146</v>
      </c>
      <c r="E269" s="1" t="n">
        <v>46221</v>
      </c>
      <c r="F269" t="inlineStr">
        <is>
          <t>KALMAR LÄN</t>
        </is>
      </c>
      <c r="G269" t="inlineStr">
        <is>
          <t>HULTSFRED</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19047-2023</t>
        </is>
      </c>
      <c r="B270" t="inlineStr">
        <is>
          <t>avverkningsanmälan</t>
        </is>
      </c>
      <c r="C270" t="inlineStr">
        <is>
          <t>Föryngringsavverkning</t>
        </is>
      </c>
      <c r="D270" s="1" t="n">
        <v>45047</v>
      </c>
      <c r="E270" s="1" t="n">
        <v>46221</v>
      </c>
      <c r="F270" t="inlineStr">
        <is>
          <t>KALMAR LÄN</t>
        </is>
      </c>
      <c r="G270" t="inlineStr">
        <is>
          <t>HULTSFRED</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55495-2023</t>
        </is>
      </c>
      <c r="B271" t="inlineStr">
        <is>
          <t>avverkningsanmälan</t>
        </is>
      </c>
      <c r="C271" t="inlineStr">
        <is>
          <t>Föryngringsavverkning</t>
        </is>
      </c>
      <c r="D271" s="1" t="n">
        <v>45238</v>
      </c>
      <c r="E271" s="1" t="n">
        <v>46221</v>
      </c>
      <c r="F271" t="inlineStr">
        <is>
          <t>KALMAR LÄN</t>
        </is>
      </c>
      <c r="G271" t="inlineStr">
        <is>
          <t>HULTSFRED</t>
        </is>
      </c>
      <c r="H271" t="inlineStr">
        <is>
          <t>Kyrkan</t>
        </is>
      </c>
      <c r="I271" t="n">
        <v>4.6</v>
      </c>
      <c r="J271" t="n">
        <v>0</v>
      </c>
      <c r="K271" t="n">
        <v>0</v>
      </c>
      <c r="L271" t="n">
        <v>0</v>
      </c>
      <c r="M271" t="n">
        <v>0</v>
      </c>
      <c r="N271" t="n">
        <v>0</v>
      </c>
      <c r="O271" t="n">
        <v>0</v>
      </c>
      <c r="P271" t="n">
        <v>0</v>
      </c>
      <c r="Q271" t="n">
        <v>0</v>
      </c>
      <c r="R271" t="n">
        <v>0</v>
      </c>
      <c r="S271" t="n">
        <v>0</v>
      </c>
      <c r="T271" t="n">
        <v>0</v>
      </c>
      <c r="U271" s="2" t="inlineStr"/>
    </row>
    <row r="272" ht="15" customHeight="1">
      <c r="A272" t="inlineStr">
        <is>
          <t>A 40187-2025</t>
        </is>
      </c>
      <c r="B272" t="inlineStr">
        <is>
          <t>avverkningsanmälan</t>
        </is>
      </c>
      <c r="C272" t="inlineStr">
        <is>
          <t>Föryngringsavverkning</t>
        </is>
      </c>
      <c r="D272" s="1" t="n">
        <v>45894</v>
      </c>
      <c r="E272" s="1" t="n">
        <v>46221</v>
      </c>
      <c r="F272" t="inlineStr">
        <is>
          <t>KALMAR LÄN</t>
        </is>
      </c>
      <c r="G272" t="inlineStr">
        <is>
          <t>HULTSFRED</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42743-2024</t>
        </is>
      </c>
      <c r="B273" t="inlineStr">
        <is>
          <t>avverkningsanmälan</t>
        </is>
      </c>
      <c r="C273" t="inlineStr">
        <is>
          <t>Föryngringsavverkning</t>
        </is>
      </c>
      <c r="D273" s="1" t="n">
        <v>45566</v>
      </c>
      <c r="E273" s="1" t="n">
        <v>46221</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8337-2023</t>
        </is>
      </c>
      <c r="B274" t="inlineStr">
        <is>
          <t>avverkningsanmälan</t>
        </is>
      </c>
      <c r="C274" t="inlineStr">
        <is>
          <t>Föryngringsavverkning</t>
        </is>
      </c>
      <c r="D274" s="1" t="n">
        <v>44975</v>
      </c>
      <c r="E274" s="1" t="n">
        <v>46221</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58861-2023</t>
        </is>
      </c>
      <c r="B275" t="inlineStr">
        <is>
          <t>avverkningsanmälan</t>
        </is>
      </c>
      <c r="C275" t="inlineStr">
        <is>
          <t>Föryngringsavverkning</t>
        </is>
      </c>
      <c r="D275" s="1" t="n">
        <v>45252</v>
      </c>
      <c r="E275" s="1" t="n">
        <v>46221</v>
      </c>
      <c r="F275" t="inlineStr">
        <is>
          <t>KALMAR LÄN</t>
        </is>
      </c>
      <c r="G275" t="inlineStr">
        <is>
          <t>HULTSFRED</t>
        </is>
      </c>
      <c r="H275" t="inlineStr">
        <is>
          <t>Kyrkan</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30269-2025</t>
        </is>
      </c>
      <c r="B276" t="inlineStr">
        <is>
          <t>avverkningsanmälan</t>
        </is>
      </c>
      <c r="C276" t="inlineStr">
        <is>
          <t>Föryngringsavverkning</t>
        </is>
      </c>
      <c r="D276" s="1" t="n">
        <v>45827</v>
      </c>
      <c r="E276" s="1" t="n">
        <v>46221</v>
      </c>
      <c r="F276" t="inlineStr">
        <is>
          <t>KALMAR LÄN</t>
        </is>
      </c>
      <c r="G276" t="inlineStr">
        <is>
          <t>HULTSFRED</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30273-2025</t>
        </is>
      </c>
      <c r="B277" t="inlineStr">
        <is>
          <t>avverkningsanmälan</t>
        </is>
      </c>
      <c r="C277" t="inlineStr">
        <is>
          <t>Föryngringsavverkning</t>
        </is>
      </c>
      <c r="D277" s="1" t="n">
        <v>45827</v>
      </c>
      <c r="E277" s="1" t="n">
        <v>46221</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37628-2024</t>
        </is>
      </c>
      <c r="B278" t="inlineStr">
        <is>
          <t>avverkningsanmälan</t>
        </is>
      </c>
      <c r="C278" t="inlineStr">
        <is>
          <t>Föryngringsavverkning</t>
        </is>
      </c>
      <c r="D278" s="1" t="n">
        <v>45541</v>
      </c>
      <c r="E278" s="1" t="n">
        <v>46221</v>
      </c>
      <c r="F278" t="inlineStr">
        <is>
          <t>KALMAR LÄN</t>
        </is>
      </c>
      <c r="G278" t="inlineStr">
        <is>
          <t>HULTSFRED</t>
        </is>
      </c>
      <c r="H278" t="inlineStr">
        <is>
          <t>Övriga Aktiebolag</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30284-2025</t>
        </is>
      </c>
      <c r="B279" t="inlineStr">
        <is>
          <t>avverkningsanmälan</t>
        </is>
      </c>
      <c r="C279" t="inlineStr">
        <is>
          <t>Föryngringsavverkning</t>
        </is>
      </c>
      <c r="D279" s="1" t="n">
        <v>45827</v>
      </c>
      <c r="E279" s="1" t="n">
        <v>46221</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30294-2025</t>
        </is>
      </c>
      <c r="B280" t="inlineStr">
        <is>
          <t>avverkningsanmälan</t>
        </is>
      </c>
      <c r="C280" t="inlineStr">
        <is>
          <t>Föryngringsavverkning</t>
        </is>
      </c>
      <c r="D280" s="1" t="n">
        <v>45827</v>
      </c>
      <c r="E280" s="1" t="n">
        <v>46221</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30242-2025</t>
        </is>
      </c>
      <c r="B281" t="inlineStr">
        <is>
          <t>avverkningsanmälan</t>
        </is>
      </c>
      <c r="C281" t="inlineStr">
        <is>
          <t>Föryngringsavverkning</t>
        </is>
      </c>
      <c r="D281" s="1" t="n">
        <v>45827</v>
      </c>
      <c r="E281" s="1" t="n">
        <v>46221</v>
      </c>
      <c r="F281" t="inlineStr">
        <is>
          <t>KALMAR LÄN</t>
        </is>
      </c>
      <c r="G281" t="inlineStr">
        <is>
          <t>HULTSFRED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2507-2023</t>
        </is>
      </c>
      <c r="B282" t="inlineStr">
        <is>
          <t>avverkningsanmälan</t>
        </is>
      </c>
      <c r="C282" t="inlineStr">
        <is>
          <t>Föryngringsavverkning</t>
        </is>
      </c>
      <c r="D282" s="1" t="n">
        <v>44939</v>
      </c>
      <c r="E282" s="1" t="n">
        <v>46221</v>
      </c>
      <c r="F282" t="inlineStr">
        <is>
          <t>KALMAR LÄN</t>
        </is>
      </c>
      <c r="G282" t="inlineStr">
        <is>
          <t>HULTSFRED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30233-2025</t>
        </is>
      </c>
      <c r="B283" t="inlineStr">
        <is>
          <t>avverkningsanmälan</t>
        </is>
      </c>
      <c r="C283" t="inlineStr">
        <is>
          <t>Föryngringsavverkning</t>
        </is>
      </c>
      <c r="D283" s="1" t="n">
        <v>45827</v>
      </c>
      <c r="E283" s="1" t="n">
        <v>46221</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36278-2023</t>
        </is>
      </c>
      <c r="B284" t="inlineStr">
        <is>
          <t>avverkningsanmälan</t>
        </is>
      </c>
      <c r="C284" t="inlineStr">
        <is>
          <t>Föryngringsavverkning</t>
        </is>
      </c>
      <c r="D284" s="1" t="n">
        <v>45152</v>
      </c>
      <c r="E284" s="1" t="n">
        <v>46221</v>
      </c>
      <c r="F284" t="inlineStr">
        <is>
          <t>KALMAR LÄN</t>
        </is>
      </c>
      <c r="G284" t="inlineStr">
        <is>
          <t>HULTSFRED</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4939-2026</t>
        </is>
      </c>
      <c r="B285" t="inlineStr">
        <is>
          <t>avverkningsanmälan</t>
        </is>
      </c>
      <c r="C285" t="inlineStr">
        <is>
          <t>Föryngringsavverkning</t>
        </is>
      </c>
      <c r="D285" s="1" t="n">
        <v>46048</v>
      </c>
      <c r="E285" s="1" t="n">
        <v>46221</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12192-2025</t>
        </is>
      </c>
      <c r="B286" t="inlineStr">
        <is>
          <t>avverkningsanmälan</t>
        </is>
      </c>
      <c r="C286" t="inlineStr">
        <is>
          <t>Föryngringsavverkning</t>
        </is>
      </c>
      <c r="D286" s="1" t="n">
        <v>45729</v>
      </c>
      <c r="E286" s="1" t="n">
        <v>46221</v>
      </c>
      <c r="F286" t="inlineStr">
        <is>
          <t>KALMAR LÄN</t>
        </is>
      </c>
      <c r="G286" t="inlineStr">
        <is>
          <t>HULTSFRED</t>
        </is>
      </c>
      <c r="H286" t="inlineStr">
        <is>
          <t>Sveaskog</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53835-2024</t>
        </is>
      </c>
      <c r="B287" t="inlineStr">
        <is>
          <t>avverkningsanmälan</t>
        </is>
      </c>
      <c r="C287" t="inlineStr">
        <is>
          <t>Föryngringsavverkning</t>
        </is>
      </c>
      <c r="D287" s="1" t="n">
        <v>45615</v>
      </c>
      <c r="E287" s="1" t="n">
        <v>46221</v>
      </c>
      <c r="F287" t="inlineStr">
        <is>
          <t>KALMAR LÄN</t>
        </is>
      </c>
      <c r="G287" t="inlineStr">
        <is>
          <t>HULTSFRED</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42229-2023</t>
        </is>
      </c>
      <c r="B288" t="inlineStr">
        <is>
          <t>avverkningsanmälan</t>
        </is>
      </c>
      <c r="C288" t="inlineStr">
        <is>
          <t>Föryngringsavverkning</t>
        </is>
      </c>
      <c r="D288" s="1" t="n">
        <v>45180</v>
      </c>
      <c r="E288" s="1" t="n">
        <v>46221</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30929-2025</t>
        </is>
      </c>
      <c r="B289" t="inlineStr">
        <is>
          <t>avverkningsanmälan</t>
        </is>
      </c>
      <c r="C289" t="inlineStr">
        <is>
          <t>Föryngringsavverkning</t>
        </is>
      </c>
      <c r="D289" s="1" t="n">
        <v>45831</v>
      </c>
      <c r="E289" s="1" t="n">
        <v>46221</v>
      </c>
      <c r="F289" t="inlineStr">
        <is>
          <t>KALMAR LÄN</t>
        </is>
      </c>
      <c r="G289" t="inlineStr">
        <is>
          <t>HULTSFRED</t>
        </is>
      </c>
      <c r="H289" t="inlineStr">
        <is>
          <t>Kommuner</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9587-2025</t>
        </is>
      </c>
      <c r="B290" t="inlineStr">
        <is>
          <t>avverkningsanmälan</t>
        </is>
      </c>
      <c r="C290" t="inlineStr">
        <is>
          <t>Föryngringsavverkning</t>
        </is>
      </c>
      <c r="D290" s="1" t="n">
        <v>45715</v>
      </c>
      <c r="E290" s="1" t="n">
        <v>46221</v>
      </c>
      <c r="F290" t="inlineStr">
        <is>
          <t>KALMAR LÄN</t>
        </is>
      </c>
      <c r="G290" t="inlineStr">
        <is>
          <t>HULTSFRED</t>
        </is>
      </c>
      <c r="H290" t="inlineStr">
        <is>
          <t>Sveaskog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31265-2025</t>
        </is>
      </c>
      <c r="B291" t="inlineStr">
        <is>
          <t>avverkningsanmälan</t>
        </is>
      </c>
      <c r="C291" t="inlineStr">
        <is>
          <t>Föryngringsavverkning</t>
        </is>
      </c>
      <c r="D291" s="1" t="n">
        <v>45833</v>
      </c>
      <c r="E291" s="1" t="n">
        <v>46221</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4940-2026</t>
        </is>
      </c>
      <c r="B292" t="inlineStr">
        <is>
          <t>avverkningsanmälan</t>
        </is>
      </c>
      <c r="C292" t="inlineStr">
        <is>
          <t>Föryngringsavverkning</t>
        </is>
      </c>
      <c r="D292" s="1" t="n">
        <v>46048</v>
      </c>
      <c r="E292" s="1" t="n">
        <v>46221</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4941-2026</t>
        </is>
      </c>
      <c r="B293" t="inlineStr">
        <is>
          <t>avverkningsanmälan</t>
        </is>
      </c>
      <c r="C293" t="inlineStr">
        <is>
          <t>Föryngringsavverkning</t>
        </is>
      </c>
      <c r="D293" s="1" t="n">
        <v>46048</v>
      </c>
      <c r="E293" s="1" t="n">
        <v>46221</v>
      </c>
      <c r="F293" t="inlineStr">
        <is>
          <t>KALMAR LÄN</t>
        </is>
      </c>
      <c r="G293" t="inlineStr">
        <is>
          <t>HULTSFRED</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43259-2024</t>
        </is>
      </c>
      <c r="B294" t="inlineStr">
        <is>
          <t>avverkningsanmälan</t>
        </is>
      </c>
      <c r="C294" t="inlineStr">
        <is>
          <t>Föryngringsavverkning</t>
        </is>
      </c>
      <c r="D294" s="1" t="n">
        <v>45568</v>
      </c>
      <c r="E294" s="1" t="n">
        <v>46221</v>
      </c>
      <c r="F294" t="inlineStr">
        <is>
          <t>KALMAR LÄN</t>
        </is>
      </c>
      <c r="G294" t="inlineStr">
        <is>
          <t>HULTSFRED</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4938-2026</t>
        </is>
      </c>
      <c r="B295" t="inlineStr">
        <is>
          <t>avverkningsanmälan</t>
        </is>
      </c>
      <c r="C295" t="inlineStr">
        <is>
          <t>Föryngringsavverkning</t>
        </is>
      </c>
      <c r="D295" s="1" t="n">
        <v>46048</v>
      </c>
      <c r="E295" s="1" t="n">
        <v>46221</v>
      </c>
      <c r="F295" t="inlineStr">
        <is>
          <t>KALMAR LÄN</t>
        </is>
      </c>
      <c r="G295" t="inlineStr">
        <is>
          <t>HULTSFRED</t>
        </is>
      </c>
      <c r="I295" t="n">
        <v>4.5</v>
      </c>
      <c r="J295" t="n">
        <v>0</v>
      </c>
      <c r="K295" t="n">
        <v>0</v>
      </c>
      <c r="L295" t="n">
        <v>0</v>
      </c>
      <c r="M295" t="n">
        <v>0</v>
      </c>
      <c r="N295" t="n">
        <v>0</v>
      </c>
      <c r="O295" t="n">
        <v>0</v>
      </c>
      <c r="P295" t="n">
        <v>0</v>
      </c>
      <c r="Q295" t="n">
        <v>0</v>
      </c>
      <c r="R295" t="n">
        <v>0</v>
      </c>
      <c r="S295" t="n">
        <v>0</v>
      </c>
      <c r="T295" t="n">
        <v>0</v>
      </c>
      <c r="U295" s="2" t="inlineStr"/>
    </row>
    <row r="296" ht="15" customHeight="1">
      <c r="A296" t="inlineStr">
        <is>
          <t>A 43037-2025</t>
        </is>
      </c>
      <c r="B296" t="inlineStr">
        <is>
          <t>avverkningsanmälan</t>
        </is>
      </c>
      <c r="C296" t="inlineStr">
        <is>
          <t>Föryngringsavverkning</t>
        </is>
      </c>
      <c r="D296" s="1" t="n">
        <v>45909</v>
      </c>
      <c r="E296" s="1" t="n">
        <v>46221</v>
      </c>
      <c r="F296" t="inlineStr">
        <is>
          <t>KALMAR LÄN</t>
        </is>
      </c>
      <c r="G296" t="inlineStr">
        <is>
          <t>HULTSFRED</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52693-2023</t>
        </is>
      </c>
      <c r="B297" t="inlineStr">
        <is>
          <t>avverkningsanmälan</t>
        </is>
      </c>
      <c r="C297" t="inlineStr">
        <is>
          <t>Föryngringsavverkning</t>
        </is>
      </c>
      <c r="D297" s="1" t="n">
        <v>45225</v>
      </c>
      <c r="E297" s="1" t="n">
        <v>46221</v>
      </c>
      <c r="F297" t="inlineStr">
        <is>
          <t>KALMAR LÄN</t>
        </is>
      </c>
      <c r="G297" t="inlineStr">
        <is>
          <t>HULTSFRED</t>
        </is>
      </c>
      <c r="I297" t="n">
        <v>4.8</v>
      </c>
      <c r="J297" t="n">
        <v>0</v>
      </c>
      <c r="K297" t="n">
        <v>0</v>
      </c>
      <c r="L297" t="n">
        <v>0</v>
      </c>
      <c r="M297" t="n">
        <v>0</v>
      </c>
      <c r="N297" t="n">
        <v>0</v>
      </c>
      <c r="O297" t="n">
        <v>0</v>
      </c>
      <c r="P297" t="n">
        <v>0</v>
      </c>
      <c r="Q297" t="n">
        <v>0</v>
      </c>
      <c r="R297" t="n">
        <v>0</v>
      </c>
      <c r="S297" t="n">
        <v>0</v>
      </c>
      <c r="T297" t="n">
        <v>0</v>
      </c>
      <c r="U297" s="2" t="inlineStr"/>
    </row>
    <row r="298" ht="15" customHeight="1">
      <c r="A298" t="inlineStr">
        <is>
          <t>A 43034-2025</t>
        </is>
      </c>
      <c r="B298" t="inlineStr">
        <is>
          <t>avverkningsanmälan</t>
        </is>
      </c>
      <c r="C298" t="inlineStr">
        <is>
          <t>Föryngringsavverkning</t>
        </is>
      </c>
      <c r="D298" s="1" t="n">
        <v>45909</v>
      </c>
      <c r="E298" s="1" t="n">
        <v>46221</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43044-2025</t>
        </is>
      </c>
      <c r="B299" t="inlineStr">
        <is>
          <t>avverkningsanmälan</t>
        </is>
      </c>
      <c r="C299" t="inlineStr">
        <is>
          <t>Föryngringsavverkning</t>
        </is>
      </c>
      <c r="D299" s="1" t="n">
        <v>45909</v>
      </c>
      <c r="E299" s="1" t="n">
        <v>46221</v>
      </c>
      <c r="F299" t="inlineStr">
        <is>
          <t>KALMAR LÄN</t>
        </is>
      </c>
      <c r="G299" t="inlineStr">
        <is>
          <t>HULTSFRED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11007-2025</t>
        </is>
      </c>
      <c r="B300" t="inlineStr">
        <is>
          <t>avverkningsanmälan</t>
        </is>
      </c>
      <c r="C300" t="inlineStr">
        <is>
          <t>Föryngringsavverkning</t>
        </is>
      </c>
      <c r="D300" s="1" t="n">
        <v>45723</v>
      </c>
      <c r="E300" s="1" t="n">
        <v>46221</v>
      </c>
      <c r="F300" t="inlineStr">
        <is>
          <t>KALMAR LÄN</t>
        </is>
      </c>
      <c r="G300" t="inlineStr">
        <is>
          <t>HULTSFRED</t>
        </is>
      </c>
      <c r="H300" t="inlineStr">
        <is>
          <t>Sveaskog</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5564-2026</t>
        </is>
      </c>
      <c r="B301" t="inlineStr">
        <is>
          <t>avverkningsanmälan</t>
        </is>
      </c>
      <c r="C301" t="inlineStr">
        <is>
          <t>Föryngringsavverkning</t>
        </is>
      </c>
      <c r="D301" s="1" t="n">
        <v>46050</v>
      </c>
      <c r="E301" s="1" t="n">
        <v>46221</v>
      </c>
      <c r="F301" t="inlineStr">
        <is>
          <t>KALMAR LÄN</t>
        </is>
      </c>
      <c r="G301" t="inlineStr">
        <is>
          <t>HULTSFRED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53810-2024</t>
        </is>
      </c>
      <c r="B302" t="inlineStr">
        <is>
          <t>avverkningsanmälan</t>
        </is>
      </c>
      <c r="C302" t="inlineStr">
        <is>
          <t>Föryngringsavverkning</t>
        </is>
      </c>
      <c r="D302" s="1" t="n">
        <v>45615</v>
      </c>
      <c r="E302" s="1" t="n">
        <v>46221</v>
      </c>
      <c r="F302" t="inlineStr">
        <is>
          <t>KALMAR LÄN</t>
        </is>
      </c>
      <c r="G302" t="inlineStr">
        <is>
          <t>HULTSFRED</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5566-2026</t>
        </is>
      </c>
      <c r="B303" t="inlineStr">
        <is>
          <t>avverkningsanmälan</t>
        </is>
      </c>
      <c r="C303" t="inlineStr">
        <is>
          <t>Föryngringsavverkning</t>
        </is>
      </c>
      <c r="D303" s="1" t="n">
        <v>46050</v>
      </c>
      <c r="E303" s="1" t="n">
        <v>46221</v>
      </c>
      <c r="F303" t="inlineStr">
        <is>
          <t>KALMAR LÄN</t>
        </is>
      </c>
      <c r="G303" t="inlineStr">
        <is>
          <t>HULTSFRED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44399-2025</t>
        </is>
      </c>
      <c r="B304" t="inlineStr">
        <is>
          <t>avverkningsanmälan</t>
        </is>
      </c>
      <c r="C304" t="inlineStr">
        <is>
          <t>Föryngringsavverkning</t>
        </is>
      </c>
      <c r="D304" s="1" t="n">
        <v>45916</v>
      </c>
      <c r="E304" s="1" t="n">
        <v>46221</v>
      </c>
      <c r="F304" t="inlineStr">
        <is>
          <t>KALMAR LÄN</t>
        </is>
      </c>
      <c r="G304" t="inlineStr">
        <is>
          <t>HULTSFRED</t>
        </is>
      </c>
      <c r="I304" t="n">
        <v>7.4</v>
      </c>
      <c r="J304" t="n">
        <v>0</v>
      </c>
      <c r="K304" t="n">
        <v>0</v>
      </c>
      <c r="L304" t="n">
        <v>0</v>
      </c>
      <c r="M304" t="n">
        <v>0</v>
      </c>
      <c r="N304" t="n">
        <v>0</v>
      </c>
      <c r="O304" t="n">
        <v>0</v>
      </c>
      <c r="P304" t="n">
        <v>0</v>
      </c>
      <c r="Q304" t="n">
        <v>0</v>
      </c>
      <c r="R304" t="n">
        <v>0</v>
      </c>
      <c r="S304" t="n">
        <v>0</v>
      </c>
      <c r="T304" t="n">
        <v>0</v>
      </c>
      <c r="U304" s="2" t="inlineStr"/>
    </row>
    <row r="305" ht="15" customHeight="1">
      <c r="A305" t="inlineStr">
        <is>
          <t>A 11645-2023</t>
        </is>
      </c>
      <c r="B305" t="inlineStr">
        <is>
          <t>avverkningsanmälan</t>
        </is>
      </c>
      <c r="C305" t="inlineStr">
        <is>
          <t>Föryngringsavverkning</t>
        </is>
      </c>
      <c r="D305" s="1" t="n">
        <v>44994</v>
      </c>
      <c r="E305" s="1" t="n">
        <v>46221</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6028-2026</t>
        </is>
      </c>
      <c r="B306" t="inlineStr">
        <is>
          <t>avverkningsanmälan</t>
        </is>
      </c>
      <c r="C306" t="inlineStr">
        <is>
          <t>Föryngringsavverkning</t>
        </is>
      </c>
      <c r="D306" s="1" t="n">
        <v>46052</v>
      </c>
      <c r="E306" s="1" t="n">
        <v>46221</v>
      </c>
      <c r="F306" t="inlineStr">
        <is>
          <t>KALMAR LÄN</t>
        </is>
      </c>
      <c r="G306" t="inlineStr">
        <is>
          <t>HULTSFRED</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5565-2026</t>
        </is>
      </c>
      <c r="B307" t="inlineStr">
        <is>
          <t>avverkningsanmälan</t>
        </is>
      </c>
      <c r="C307" t="inlineStr">
        <is>
          <t>Föryngringsavverkning</t>
        </is>
      </c>
      <c r="D307" s="1" t="n">
        <v>46050</v>
      </c>
      <c r="E307" s="1" t="n">
        <v>46221</v>
      </c>
      <c r="F307" t="inlineStr">
        <is>
          <t>KALMAR LÄN</t>
        </is>
      </c>
      <c r="G307" t="inlineStr">
        <is>
          <t>HULTSFRED</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8930-2022</t>
        </is>
      </c>
      <c r="B308" t="inlineStr">
        <is>
          <t>avverkningsanmälan</t>
        </is>
      </c>
      <c r="C308" t="inlineStr">
        <is>
          <t>Föryngringsavverkning</t>
        </is>
      </c>
      <c r="D308" s="1" t="n">
        <v>44614</v>
      </c>
      <c r="E308" s="1" t="n">
        <v>46221</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s="2" t="inlineStr"/>
    </row>
    <row r="309" ht="15" customHeight="1">
      <c r="A309" t="inlineStr">
        <is>
          <t>A 33990-2025</t>
        </is>
      </c>
      <c r="B309" t="inlineStr">
        <is>
          <t>avverkningsanmälan</t>
        </is>
      </c>
      <c r="C309" t="inlineStr">
        <is>
          <t>Föryngringsavverkning</t>
        </is>
      </c>
      <c r="D309" s="1" t="n">
        <v>45843</v>
      </c>
      <c r="E309" s="1" t="n">
        <v>46221</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45824-2025</t>
        </is>
      </c>
      <c r="B310" t="inlineStr">
        <is>
          <t>avverkningsanmälan</t>
        </is>
      </c>
      <c r="C310" t="inlineStr">
        <is>
          <t>Föryngringsavverkning</t>
        </is>
      </c>
      <c r="D310" s="1" t="n">
        <v>45923</v>
      </c>
      <c r="E310" s="1" t="n">
        <v>46221</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45934-2025</t>
        </is>
      </c>
      <c r="B311" t="inlineStr">
        <is>
          <t>avverkningsanmälan</t>
        </is>
      </c>
      <c r="C311" t="inlineStr">
        <is>
          <t>Föryngringsavverkning</t>
        </is>
      </c>
      <c r="D311" s="1" t="n">
        <v>45923</v>
      </c>
      <c r="E311" s="1" t="n">
        <v>46221</v>
      </c>
      <c r="F311" t="inlineStr">
        <is>
          <t>KALMAR LÄN</t>
        </is>
      </c>
      <c r="G311" t="inlineStr">
        <is>
          <t>HULTSFRED</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46032-2025</t>
        </is>
      </c>
      <c r="B312" t="inlineStr">
        <is>
          <t>avverkningsanmälan</t>
        </is>
      </c>
      <c r="C312" t="inlineStr">
        <is>
          <t>Föryngringsavverkning</t>
        </is>
      </c>
      <c r="D312" s="1" t="n">
        <v>45924</v>
      </c>
      <c r="E312" s="1" t="n">
        <v>46221</v>
      </c>
      <c r="F312" t="inlineStr">
        <is>
          <t>KALMAR LÄN</t>
        </is>
      </c>
      <c r="G312" t="inlineStr">
        <is>
          <t>HULTSFRED</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44256-2024</t>
        </is>
      </c>
      <c r="B313" t="inlineStr">
        <is>
          <t>avverkningsanmälan</t>
        </is>
      </c>
      <c r="C313" t="inlineStr">
        <is>
          <t>Föryngringsavverkning</t>
        </is>
      </c>
      <c r="D313" s="1" t="n">
        <v>45573</v>
      </c>
      <c r="E313" s="1" t="n">
        <v>46221</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45727-2025</t>
        </is>
      </c>
      <c r="B314" t="inlineStr">
        <is>
          <t>avverkningsanmälan</t>
        </is>
      </c>
      <c r="C314" t="inlineStr">
        <is>
          <t>Föryngringsavverkning</t>
        </is>
      </c>
      <c r="D314" s="1" t="n">
        <v>45923</v>
      </c>
      <c r="E314" s="1" t="n">
        <v>46221</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41976-2022</t>
        </is>
      </c>
      <c r="B315" t="inlineStr">
        <is>
          <t>avverkningsanmälan</t>
        </is>
      </c>
      <c r="C315" t="inlineStr">
        <is>
          <t>Föryngringsavverkning</t>
        </is>
      </c>
      <c r="D315" s="1" t="n">
        <v>44830</v>
      </c>
      <c r="E315" s="1" t="n">
        <v>46221</v>
      </c>
      <c r="F315" t="inlineStr">
        <is>
          <t>KALMAR LÄN</t>
        </is>
      </c>
      <c r="G315" t="inlineStr">
        <is>
          <t>HULTSFRED</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42498-2022</t>
        </is>
      </c>
      <c r="B316" t="inlineStr">
        <is>
          <t>avverkningsanmälan</t>
        </is>
      </c>
      <c r="C316" t="inlineStr">
        <is>
          <t>Föryngringsavverkning</t>
        </is>
      </c>
      <c r="D316" s="1" t="n">
        <v>44831</v>
      </c>
      <c r="E316" s="1" t="n">
        <v>46221</v>
      </c>
      <c r="F316" t="inlineStr">
        <is>
          <t>KALMAR LÄN</t>
        </is>
      </c>
      <c r="G316" t="inlineStr">
        <is>
          <t>HULTSFRED</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46439-2025</t>
        </is>
      </c>
      <c r="B317" t="inlineStr">
        <is>
          <t>avverkningsanmälan</t>
        </is>
      </c>
      <c r="C317" t="inlineStr">
        <is>
          <t>Föryngringsavverkning</t>
        </is>
      </c>
      <c r="D317" s="1" t="n">
        <v>45925</v>
      </c>
      <c r="E317" s="1" t="n">
        <v>46221</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46563-2025</t>
        </is>
      </c>
      <c r="B318" t="inlineStr">
        <is>
          <t>avverkningsanmälan</t>
        </is>
      </c>
      <c r="C318" t="inlineStr">
        <is>
          <t>Föryngringsavverkning</t>
        </is>
      </c>
      <c r="D318" s="1" t="n">
        <v>45926</v>
      </c>
      <c r="E318" s="1" t="n">
        <v>46221</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9326-2025</t>
        </is>
      </c>
      <c r="B319" t="inlineStr">
        <is>
          <t>avverkningsanmälan</t>
        </is>
      </c>
      <c r="C319" t="inlineStr">
        <is>
          <t>Föryngringsavverkning</t>
        </is>
      </c>
      <c r="D319" s="1" t="n">
        <v>45714</v>
      </c>
      <c r="E319" s="1" t="n">
        <v>46221</v>
      </c>
      <c r="F319" t="inlineStr">
        <is>
          <t>KALMAR LÄN</t>
        </is>
      </c>
      <c r="G319" t="inlineStr">
        <is>
          <t>HULTSFRED</t>
        </is>
      </c>
      <c r="H319" t="inlineStr">
        <is>
          <t>Sveaskog</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46443-2025</t>
        </is>
      </c>
      <c r="B320" t="inlineStr">
        <is>
          <t>avverkningsanmälan</t>
        </is>
      </c>
      <c r="C320" t="inlineStr">
        <is>
          <t>Föryngringsavverkning</t>
        </is>
      </c>
      <c r="D320" s="1" t="n">
        <v>45925</v>
      </c>
      <c r="E320" s="1" t="n">
        <v>46221</v>
      </c>
      <c r="F320" t="inlineStr">
        <is>
          <t>KALMAR LÄN</t>
        </is>
      </c>
      <c r="G320" t="inlineStr">
        <is>
          <t>HULTSFRED</t>
        </is>
      </c>
      <c r="H320" t="inlineStr">
        <is>
          <t>Övriga Aktiebolag</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46446-2025</t>
        </is>
      </c>
      <c r="B321" t="inlineStr">
        <is>
          <t>avverkningsanmälan</t>
        </is>
      </c>
      <c r="C321" t="inlineStr">
        <is>
          <t>Föryngringsavverkning</t>
        </is>
      </c>
      <c r="D321" s="1" t="n">
        <v>45925</v>
      </c>
      <c r="E321" s="1" t="n">
        <v>46221</v>
      </c>
      <c r="F321" t="inlineStr">
        <is>
          <t>KALMAR LÄN</t>
        </is>
      </c>
      <c r="G321" t="inlineStr">
        <is>
          <t>HULTSFRED</t>
        </is>
      </c>
      <c r="H321" t="inlineStr">
        <is>
          <t>Övriga Aktiebolag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46448-2025</t>
        </is>
      </c>
      <c r="B322" t="inlineStr">
        <is>
          <t>avverkningsanmälan</t>
        </is>
      </c>
      <c r="C322" t="inlineStr">
        <is>
          <t>Föryngringsavverkning</t>
        </is>
      </c>
      <c r="D322" s="1" t="n">
        <v>45925</v>
      </c>
      <c r="E322" s="1" t="n">
        <v>46221</v>
      </c>
      <c r="F322" t="inlineStr">
        <is>
          <t>KALMAR LÄN</t>
        </is>
      </c>
      <c r="G322" t="inlineStr">
        <is>
          <t>HULTSFRED</t>
        </is>
      </c>
      <c r="H322" t="inlineStr">
        <is>
          <t>Övriga Aktiebolag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46449-2025</t>
        </is>
      </c>
      <c r="B323" t="inlineStr">
        <is>
          <t>avverkningsanmälan</t>
        </is>
      </c>
      <c r="C323" t="inlineStr">
        <is>
          <t>Föryngringsavverkning</t>
        </is>
      </c>
      <c r="D323" s="1" t="n">
        <v>45925</v>
      </c>
      <c r="E323" s="1" t="n">
        <v>46221</v>
      </c>
      <c r="F323" t="inlineStr">
        <is>
          <t>KALMAR LÄN</t>
        </is>
      </c>
      <c r="G323" t="inlineStr">
        <is>
          <t>HULTSFRED</t>
        </is>
      </c>
      <c r="H323" t="inlineStr">
        <is>
          <t>Övriga Aktiebolag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46444-2025</t>
        </is>
      </c>
      <c r="B324" t="inlineStr">
        <is>
          <t>avverkningsanmälan</t>
        </is>
      </c>
      <c r="C324" t="inlineStr">
        <is>
          <t>Föryngringsavverkning</t>
        </is>
      </c>
      <c r="D324" s="1" t="n">
        <v>45925</v>
      </c>
      <c r="E324" s="1" t="n">
        <v>46221</v>
      </c>
      <c r="F324" t="inlineStr">
        <is>
          <t>KALMAR LÄN</t>
        </is>
      </c>
      <c r="G324" t="inlineStr">
        <is>
          <t>HULTSFRED</t>
        </is>
      </c>
      <c r="H324" t="inlineStr">
        <is>
          <t>Övriga Aktiebolag</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47040-2025</t>
        </is>
      </c>
      <c r="B325" t="inlineStr">
        <is>
          <t>avverkningsanmälan</t>
        </is>
      </c>
      <c r="C325" t="inlineStr">
        <is>
          <t>Föryngringsavverkning</t>
        </is>
      </c>
      <c r="D325" s="1" t="n">
        <v>45929</v>
      </c>
      <c r="E325" s="1" t="n">
        <v>46221</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47042-2025</t>
        </is>
      </c>
      <c r="B326" t="inlineStr">
        <is>
          <t>avverkningsanmälan</t>
        </is>
      </c>
      <c r="C326" t="inlineStr">
        <is>
          <t>Föryngringsavverkning</t>
        </is>
      </c>
      <c r="D326" s="1" t="n">
        <v>45929</v>
      </c>
      <c r="E326" s="1" t="n">
        <v>46221</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12166-2023</t>
        </is>
      </c>
      <c r="B327" t="inlineStr">
        <is>
          <t>avverkningsanmälan</t>
        </is>
      </c>
      <c r="C327" t="inlineStr">
        <is>
          <t>Föryngringsavverkning</t>
        </is>
      </c>
      <c r="D327" s="1" t="n">
        <v>44998</v>
      </c>
      <c r="E327" s="1" t="n">
        <v>46221</v>
      </c>
      <c r="F327" t="inlineStr">
        <is>
          <t>KALMAR LÄN</t>
        </is>
      </c>
      <c r="G327" t="inlineStr">
        <is>
          <t>HULTSFRED</t>
        </is>
      </c>
      <c r="H327" t="inlineStr">
        <is>
          <t>Övriga Aktiebolag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47033-2025</t>
        </is>
      </c>
      <c r="B328" t="inlineStr">
        <is>
          <t>avverkningsanmälan</t>
        </is>
      </c>
      <c r="C328" t="inlineStr">
        <is>
          <t>Föryngringsavverkning</t>
        </is>
      </c>
      <c r="D328" s="1" t="n">
        <v>45929</v>
      </c>
      <c r="E328" s="1" t="n">
        <v>46221</v>
      </c>
      <c r="F328" t="inlineStr">
        <is>
          <t>KALMAR LÄN</t>
        </is>
      </c>
      <c r="G328" t="inlineStr">
        <is>
          <t>HULTSFRED</t>
        </is>
      </c>
      <c r="H328" t="inlineStr">
        <is>
          <t>Övriga Aktiebolag</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47041-2025</t>
        </is>
      </c>
      <c r="B329" t="inlineStr">
        <is>
          <t>avverkningsanmälan</t>
        </is>
      </c>
      <c r="C329" t="inlineStr">
        <is>
          <t>Föryngringsavverkning</t>
        </is>
      </c>
      <c r="D329" s="1" t="n">
        <v>45929</v>
      </c>
      <c r="E329" s="1" t="n">
        <v>46221</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47045-2025</t>
        </is>
      </c>
      <c r="B330" t="inlineStr">
        <is>
          <t>avverkningsanmälan</t>
        </is>
      </c>
      <c r="C330" t="inlineStr">
        <is>
          <t>Föryngringsavverkning</t>
        </is>
      </c>
      <c r="D330" s="1" t="n">
        <v>45929</v>
      </c>
      <c r="E330" s="1" t="n">
        <v>46221</v>
      </c>
      <c r="F330" t="inlineStr">
        <is>
          <t>KALMAR LÄN</t>
        </is>
      </c>
      <c r="G330" t="inlineStr">
        <is>
          <t>HULTSFRED</t>
        </is>
      </c>
      <c r="H330" t="inlineStr">
        <is>
          <t>Övriga Aktiebolag</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1770-2024</t>
        </is>
      </c>
      <c r="B331" t="inlineStr">
        <is>
          <t>avverkningsanmälan</t>
        </is>
      </c>
      <c r="C331" t="inlineStr">
        <is>
          <t>Föryngringsavverkning</t>
        </is>
      </c>
      <c r="D331" s="1" t="n">
        <v>45307</v>
      </c>
      <c r="E331" s="1" t="n">
        <v>46221</v>
      </c>
      <c r="F331" t="inlineStr">
        <is>
          <t>KALMAR LÄN</t>
        </is>
      </c>
      <c r="G331" t="inlineStr">
        <is>
          <t>HULTSFRED</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11433-2024</t>
        </is>
      </c>
      <c r="B332" t="inlineStr">
        <is>
          <t>avverkningsanmälan</t>
        </is>
      </c>
      <c r="C332" t="inlineStr">
        <is>
          <t>Föryngringsavverkning</t>
        </is>
      </c>
      <c r="D332" s="1" t="n">
        <v>45372</v>
      </c>
      <c r="E332" s="1" t="n">
        <v>46221</v>
      </c>
      <c r="F332" t="inlineStr">
        <is>
          <t>KALMAR LÄN</t>
        </is>
      </c>
      <c r="G332" t="inlineStr">
        <is>
          <t>HULTSFRED</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24341-2023</t>
        </is>
      </c>
      <c r="B333" t="inlineStr">
        <is>
          <t>avverkningsanmälan</t>
        </is>
      </c>
      <c r="C333" t="inlineStr">
        <is>
          <t>Föryngringsavverkning</t>
        </is>
      </c>
      <c r="D333" s="1" t="n">
        <v>45081</v>
      </c>
      <c r="E333" s="1" t="n">
        <v>46221</v>
      </c>
      <c r="F333" t="inlineStr">
        <is>
          <t>KALMAR LÄN</t>
        </is>
      </c>
      <c r="G333" t="inlineStr">
        <is>
          <t>HULTSFRED</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52880-2024</t>
        </is>
      </c>
      <c r="B334" t="inlineStr">
        <is>
          <t>avverkningsanmälan</t>
        </is>
      </c>
      <c r="C334" t="inlineStr">
        <is>
          <t>Föryngringsavverkning</t>
        </is>
      </c>
      <c r="D334" s="1" t="n">
        <v>45610</v>
      </c>
      <c r="E334" s="1" t="n">
        <v>46221</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3999-2023</t>
        </is>
      </c>
      <c r="B335" t="inlineStr">
        <is>
          <t>avverkningsanmälan</t>
        </is>
      </c>
      <c r="C335" t="inlineStr">
        <is>
          <t>Föryngringsavverkning</t>
        </is>
      </c>
      <c r="D335" s="1" t="n">
        <v>44952</v>
      </c>
      <c r="E335" s="1" t="n">
        <v>46221</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14599-2022</t>
        </is>
      </c>
      <c r="B336" t="inlineStr">
        <is>
          <t>avverkningsanmälan</t>
        </is>
      </c>
      <c r="C336" t="inlineStr">
        <is>
          <t>Föryngringsavverkning</t>
        </is>
      </c>
      <c r="D336" s="1" t="n">
        <v>44655</v>
      </c>
      <c r="E336" s="1" t="n">
        <v>46221</v>
      </c>
      <c r="F336" t="inlineStr">
        <is>
          <t>KALMAR LÄN</t>
        </is>
      </c>
      <c r="G336" t="inlineStr">
        <is>
          <t>HULTSFRED</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40326-2023</t>
        </is>
      </c>
      <c r="B337" t="inlineStr">
        <is>
          <t>avverkningsanmälan</t>
        </is>
      </c>
      <c r="C337" t="inlineStr">
        <is>
          <t>Föryngringsavverkning</t>
        </is>
      </c>
      <c r="D337" s="1" t="n">
        <v>45169</v>
      </c>
      <c r="E337" s="1" t="n">
        <v>46221</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55108-2024</t>
        </is>
      </c>
      <c r="B338" t="inlineStr">
        <is>
          <t>avverkningsanmälan</t>
        </is>
      </c>
      <c r="C338" t="inlineStr">
        <is>
          <t>Föryngringsavverkning</t>
        </is>
      </c>
      <c r="D338" s="1" t="n">
        <v>45621</v>
      </c>
      <c r="E338" s="1" t="n">
        <v>46221</v>
      </c>
      <c r="F338" t="inlineStr">
        <is>
          <t>KALMAR LÄN</t>
        </is>
      </c>
      <c r="G338" t="inlineStr">
        <is>
          <t>HULTSFRED</t>
        </is>
      </c>
      <c r="I338" t="n">
        <v>4.9</v>
      </c>
      <c r="J338" t="n">
        <v>0</v>
      </c>
      <c r="K338" t="n">
        <v>0</v>
      </c>
      <c r="L338" t="n">
        <v>0</v>
      </c>
      <c r="M338" t="n">
        <v>0</v>
      </c>
      <c r="N338" t="n">
        <v>0</v>
      </c>
      <c r="O338" t="n">
        <v>0</v>
      </c>
      <c r="P338" t="n">
        <v>0</v>
      </c>
      <c r="Q338" t="n">
        <v>0</v>
      </c>
      <c r="R338" t="n">
        <v>0</v>
      </c>
      <c r="S338" t="n">
        <v>0</v>
      </c>
      <c r="T338" t="n">
        <v>0</v>
      </c>
      <c r="U338" s="2" t="inlineStr"/>
    </row>
    <row r="339" ht="15" customHeight="1">
      <c r="A339" t="inlineStr">
        <is>
          <t>A 48693-2025</t>
        </is>
      </c>
      <c r="B339" t="inlineStr">
        <is>
          <t>avverkningsanmälan</t>
        </is>
      </c>
      <c r="C339" t="inlineStr">
        <is>
          <t>Föryngringsavverkning</t>
        </is>
      </c>
      <c r="D339" s="1" t="n">
        <v>45936</v>
      </c>
      <c r="E339" s="1" t="n">
        <v>46221</v>
      </c>
      <c r="F339" t="inlineStr">
        <is>
          <t>KALMAR LÄN</t>
        </is>
      </c>
      <c r="G339" t="inlineStr">
        <is>
          <t>HULTSFRED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12394-2023</t>
        </is>
      </c>
      <c r="B340" t="inlineStr">
        <is>
          <t>avverkningsanmälan</t>
        </is>
      </c>
      <c r="C340" t="inlineStr">
        <is>
          <t>Föryngringsavverkning</t>
        </is>
      </c>
      <c r="D340" s="1" t="n">
        <v>44999</v>
      </c>
      <c r="E340" s="1" t="n">
        <v>46221</v>
      </c>
      <c r="F340" t="inlineStr">
        <is>
          <t>KALMAR LÄN</t>
        </is>
      </c>
      <c r="G340" t="inlineStr">
        <is>
          <t>HULTSFRED</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7226-2026</t>
        </is>
      </c>
      <c r="B341" t="inlineStr">
        <is>
          <t>avverkningsanmälan</t>
        </is>
      </c>
      <c r="C341" t="inlineStr">
        <is>
          <t>Föryngringsavverkning</t>
        </is>
      </c>
      <c r="D341" s="1" t="n">
        <v>46058</v>
      </c>
      <c r="E341" s="1" t="n">
        <v>46221</v>
      </c>
      <c r="F341" t="inlineStr">
        <is>
          <t>KALMAR LÄN</t>
        </is>
      </c>
      <c r="G341" t="inlineStr">
        <is>
          <t>HULTSFRED</t>
        </is>
      </c>
      <c r="I341" t="n">
        <v>5.2</v>
      </c>
      <c r="J341" t="n">
        <v>0</v>
      </c>
      <c r="K341" t="n">
        <v>0</v>
      </c>
      <c r="L341" t="n">
        <v>0</v>
      </c>
      <c r="M341" t="n">
        <v>0</v>
      </c>
      <c r="N341" t="n">
        <v>0</v>
      </c>
      <c r="O341" t="n">
        <v>0</v>
      </c>
      <c r="P341" t="n">
        <v>0</v>
      </c>
      <c r="Q341" t="n">
        <v>0</v>
      </c>
      <c r="R341" t="n">
        <v>0</v>
      </c>
      <c r="S341" t="n">
        <v>0</v>
      </c>
      <c r="T341" t="n">
        <v>0</v>
      </c>
      <c r="U341" s="2" t="inlineStr"/>
    </row>
    <row r="342" ht="15" customHeight="1">
      <c r="A342" t="inlineStr">
        <is>
          <t>A 42567-2022</t>
        </is>
      </c>
      <c r="B342" t="inlineStr">
        <is>
          <t>avverkningsanmälan</t>
        </is>
      </c>
      <c r="C342" t="inlineStr">
        <is>
          <t>Föryngringsavverkning</t>
        </is>
      </c>
      <c r="D342" s="1" t="n">
        <v>44831</v>
      </c>
      <c r="E342" s="1" t="n">
        <v>46221</v>
      </c>
      <c r="F342" t="inlineStr">
        <is>
          <t>KALMAR LÄN</t>
        </is>
      </c>
      <c r="G342" t="inlineStr">
        <is>
          <t>HULTSFRED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48698-2025</t>
        </is>
      </c>
      <c r="B343" t="inlineStr">
        <is>
          <t>avverkningsanmälan</t>
        </is>
      </c>
      <c r="C343" t="inlineStr">
        <is>
          <t>Föryngringsavverkning</t>
        </is>
      </c>
      <c r="D343" s="1" t="n">
        <v>45936</v>
      </c>
      <c r="E343" s="1" t="n">
        <v>46221</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7336-2025</t>
        </is>
      </c>
      <c r="B344" t="inlineStr">
        <is>
          <t>avverkningsanmälan</t>
        </is>
      </c>
      <c r="C344" t="inlineStr">
        <is>
          <t>Avverkning för att bevara och utveckla /försöksver</t>
        </is>
      </c>
      <c r="D344" s="1" t="n">
        <v>45703</v>
      </c>
      <c r="E344" s="1" t="n">
        <v>46221</v>
      </c>
      <c r="F344" t="inlineStr">
        <is>
          <t>KALMAR LÄN</t>
        </is>
      </c>
      <c r="G344" t="inlineStr">
        <is>
          <t>HULTSFRED</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27594-2025</t>
        </is>
      </c>
      <c r="B345" t="inlineStr">
        <is>
          <t>avverkningsanmälan</t>
        </is>
      </c>
      <c r="C345" t="inlineStr">
        <is>
          <t>Föryngringsavverkning</t>
        </is>
      </c>
      <c r="D345" s="1" t="n">
        <v>45813</v>
      </c>
      <c r="E345" s="1" t="n">
        <v>46221</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7208-2026</t>
        </is>
      </c>
      <c r="B346" t="inlineStr">
        <is>
          <t>avverkningsanmälan</t>
        </is>
      </c>
      <c r="C346" t="inlineStr">
        <is>
          <t>Avverkning för annat ändamål</t>
        </is>
      </c>
      <c r="D346" s="1" t="n">
        <v>46058</v>
      </c>
      <c r="E346" s="1" t="n">
        <v>46221</v>
      </c>
      <c r="F346" t="inlineStr">
        <is>
          <t>KALMAR LÄN</t>
        </is>
      </c>
      <c r="G346" t="inlineStr">
        <is>
          <t>HULTSFRED</t>
        </is>
      </c>
      <c r="I346" t="n">
        <v>7.7</v>
      </c>
      <c r="J346" t="n">
        <v>0</v>
      </c>
      <c r="K346" t="n">
        <v>0</v>
      </c>
      <c r="L346" t="n">
        <v>0</v>
      </c>
      <c r="M346" t="n">
        <v>0</v>
      </c>
      <c r="N346" t="n">
        <v>0</v>
      </c>
      <c r="O346" t="n">
        <v>0</v>
      </c>
      <c r="P346" t="n">
        <v>0</v>
      </c>
      <c r="Q346" t="n">
        <v>0</v>
      </c>
      <c r="R346" t="n">
        <v>0</v>
      </c>
      <c r="S346" t="n">
        <v>0</v>
      </c>
      <c r="T346" t="n">
        <v>0</v>
      </c>
      <c r="U346" s="2" t="inlineStr"/>
    </row>
    <row r="347" ht="15" customHeight="1">
      <c r="A347" t="inlineStr">
        <is>
          <t>A 60101-2024</t>
        </is>
      </c>
      <c r="B347" t="inlineStr">
        <is>
          <t>avverkningsanmälan</t>
        </is>
      </c>
      <c r="C347" t="inlineStr">
        <is>
          <t>Föryngringsavverkning</t>
        </is>
      </c>
      <c r="D347" s="1" t="n">
        <v>45642</v>
      </c>
      <c r="E347" s="1" t="n">
        <v>46221</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15130-2023</t>
        </is>
      </c>
      <c r="B348" t="inlineStr">
        <is>
          <t>avverkningsanmälan</t>
        </is>
      </c>
      <c r="C348" t="inlineStr">
        <is>
          <t>Föryngringsavverkning</t>
        </is>
      </c>
      <c r="D348" s="1" t="n">
        <v>45016</v>
      </c>
      <c r="E348" s="1" t="n">
        <v>46221</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7306-2026</t>
        </is>
      </c>
      <c r="B349" t="inlineStr">
        <is>
          <t>avverkningsanmälan</t>
        </is>
      </c>
      <c r="C349" t="inlineStr">
        <is>
          <t>Föryngringsavverkning</t>
        </is>
      </c>
      <c r="D349" s="1" t="n">
        <v>46058</v>
      </c>
      <c r="E349" s="1" t="n">
        <v>46221</v>
      </c>
      <c r="F349" t="inlineStr">
        <is>
          <t>KALMAR LÄN</t>
        </is>
      </c>
      <c r="G349" t="inlineStr">
        <is>
          <t>HULTSFRED</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40330-2023</t>
        </is>
      </c>
      <c r="B350" t="inlineStr">
        <is>
          <t>avverkningsanmälan</t>
        </is>
      </c>
      <c r="C350" t="inlineStr">
        <is>
          <t>Föryngringsavverkning</t>
        </is>
      </c>
      <c r="D350" s="1" t="n">
        <v>45169</v>
      </c>
      <c r="E350" s="1" t="n">
        <v>46221</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9387-2023</t>
        </is>
      </c>
      <c r="B351" t="inlineStr">
        <is>
          <t>avverkningsanmälan</t>
        </is>
      </c>
      <c r="C351" t="inlineStr">
        <is>
          <t>Föryngringsavverkning</t>
        </is>
      </c>
      <c r="D351" s="1" t="n">
        <v>44981</v>
      </c>
      <c r="E351" s="1" t="n">
        <v>46221</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s="2" t="inlineStr"/>
    </row>
    <row r="352" ht="15" customHeight="1">
      <c r="A352" t="inlineStr">
        <is>
          <t>A 11938-2023</t>
        </is>
      </c>
      <c r="B352" t="inlineStr">
        <is>
          <t>avverkningsanmälan</t>
        </is>
      </c>
      <c r="C352" t="inlineStr">
        <is>
          <t>Föryngringsavverkning</t>
        </is>
      </c>
      <c r="D352" s="1" t="n">
        <v>44995</v>
      </c>
      <c r="E352" s="1" t="n">
        <v>46221</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61509-2024</t>
        </is>
      </c>
      <c r="B353" t="inlineStr">
        <is>
          <t>avverkningsanmälan</t>
        </is>
      </c>
      <c r="C353" t="inlineStr">
        <is>
          <t>Föryngringsavverkning</t>
        </is>
      </c>
      <c r="D353" s="1" t="n">
        <v>45646</v>
      </c>
      <c r="E353" s="1" t="n">
        <v>46221</v>
      </c>
      <c r="F353" t="inlineStr">
        <is>
          <t>KALMAR LÄN</t>
        </is>
      </c>
      <c r="G353" t="inlineStr">
        <is>
          <t>HULTSFRED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55501-2023</t>
        </is>
      </c>
      <c r="B354" t="inlineStr">
        <is>
          <t>avverkningsanmälan</t>
        </is>
      </c>
      <c r="C354" t="inlineStr">
        <is>
          <t>Föryngringsavverkning</t>
        </is>
      </c>
      <c r="D354" s="1" t="n">
        <v>45238</v>
      </c>
      <c r="E354" s="1" t="n">
        <v>46221</v>
      </c>
      <c r="F354" t="inlineStr">
        <is>
          <t>KALMAR LÄN</t>
        </is>
      </c>
      <c r="G354" t="inlineStr">
        <is>
          <t>HULTSFRED</t>
        </is>
      </c>
      <c r="H354" t="inlineStr">
        <is>
          <t>Kyrkan</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30005-2025</t>
        </is>
      </c>
      <c r="B355" t="inlineStr">
        <is>
          <t>avverkningsanmälan</t>
        </is>
      </c>
      <c r="C355" t="inlineStr">
        <is>
          <t>Föryngringsavverkning</t>
        </is>
      </c>
      <c r="D355" s="1" t="n">
        <v>45826</v>
      </c>
      <c r="E355" s="1" t="n">
        <v>46221</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7330-2026</t>
        </is>
      </c>
      <c r="B356" t="inlineStr">
        <is>
          <t>avverkningsanmälan</t>
        </is>
      </c>
      <c r="C356" t="inlineStr">
        <is>
          <t>Föryngringsavverkning</t>
        </is>
      </c>
      <c r="D356" s="1" t="n">
        <v>46058</v>
      </c>
      <c r="E356" s="1" t="n">
        <v>46221</v>
      </c>
      <c r="F356" t="inlineStr">
        <is>
          <t>KALMAR LÄN</t>
        </is>
      </c>
      <c r="G356" t="inlineStr">
        <is>
          <t>HULTSFRED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35177-2025</t>
        </is>
      </c>
      <c r="B357" t="inlineStr">
        <is>
          <t>avverkningsanmälan</t>
        </is>
      </c>
      <c r="C357" t="inlineStr">
        <is>
          <t>Föryngringsavverkning</t>
        </is>
      </c>
      <c r="D357" s="1" t="n">
        <v>45852</v>
      </c>
      <c r="E357" s="1" t="n">
        <v>46221</v>
      </c>
      <c r="F357" t="inlineStr">
        <is>
          <t>KALMAR LÄN</t>
        </is>
      </c>
      <c r="G357" t="inlineStr">
        <is>
          <t>HULTSFRED</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31422-2024</t>
        </is>
      </c>
      <c r="B358" t="inlineStr">
        <is>
          <t>avverkningsanmälan</t>
        </is>
      </c>
      <c r="C358" t="inlineStr">
        <is>
          <t>Föryngringsavverkning</t>
        </is>
      </c>
      <c r="D358" s="1" t="n">
        <v>45505</v>
      </c>
      <c r="E358" s="1" t="n">
        <v>46221</v>
      </c>
      <c r="F358" t="inlineStr">
        <is>
          <t>KALMAR LÄN</t>
        </is>
      </c>
      <c r="G358" t="inlineStr">
        <is>
          <t>HULTSFRED</t>
        </is>
      </c>
      <c r="I358" t="n">
        <v>5.5</v>
      </c>
      <c r="J358" t="n">
        <v>0</v>
      </c>
      <c r="K358" t="n">
        <v>0</v>
      </c>
      <c r="L358" t="n">
        <v>0</v>
      </c>
      <c r="M358" t="n">
        <v>0</v>
      </c>
      <c r="N358" t="n">
        <v>0</v>
      </c>
      <c r="O358" t="n">
        <v>0</v>
      </c>
      <c r="P358" t="n">
        <v>0</v>
      </c>
      <c r="Q358" t="n">
        <v>0</v>
      </c>
      <c r="R358" t="n">
        <v>0</v>
      </c>
      <c r="S358" t="n">
        <v>0</v>
      </c>
      <c r="T358" t="n">
        <v>0</v>
      </c>
      <c r="U358" s="2" t="inlineStr"/>
    </row>
    <row r="359" ht="15" customHeight="1">
      <c r="A359" t="inlineStr">
        <is>
          <t>A 7794-2026</t>
        </is>
      </c>
      <c r="B359" t="inlineStr">
        <is>
          <t>avverkningsanmälan</t>
        </is>
      </c>
      <c r="C359" t="inlineStr">
        <is>
          <t>Föryngringsavverkning</t>
        </is>
      </c>
      <c r="D359" s="1" t="n">
        <v>46062</v>
      </c>
      <c r="E359" s="1" t="n">
        <v>46221</v>
      </c>
      <c r="F359" t="inlineStr">
        <is>
          <t>KALMAR LÄN</t>
        </is>
      </c>
      <c r="G359" t="inlineStr">
        <is>
          <t>HULTSFRED</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32118-2024</t>
        </is>
      </c>
      <c r="B360" t="inlineStr">
        <is>
          <t>avverkningsanmälan</t>
        </is>
      </c>
      <c r="C360" t="inlineStr">
        <is>
          <t>Föryngringsavverkning</t>
        </is>
      </c>
      <c r="D360" s="1" t="n">
        <v>45511</v>
      </c>
      <c r="E360" s="1" t="n">
        <v>46221</v>
      </c>
      <c r="F360" t="inlineStr">
        <is>
          <t>KALMAR LÄN</t>
        </is>
      </c>
      <c r="G360" t="inlineStr">
        <is>
          <t>HULTSFRED</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12390-2023</t>
        </is>
      </c>
      <c r="B361" t="inlineStr">
        <is>
          <t>avverkningsanmälan</t>
        </is>
      </c>
      <c r="C361" t="inlineStr">
        <is>
          <t>Föryngringsavverkning</t>
        </is>
      </c>
      <c r="D361" s="1" t="n">
        <v>44999</v>
      </c>
      <c r="E361" s="1" t="n">
        <v>46221</v>
      </c>
      <c r="F361" t="inlineStr">
        <is>
          <t>KALMAR LÄN</t>
        </is>
      </c>
      <c r="G361" t="inlineStr">
        <is>
          <t>HULTSFRED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23847-2024</t>
        </is>
      </c>
      <c r="B362" t="inlineStr">
        <is>
          <t>avverkningsanmälan</t>
        </is>
      </c>
      <c r="C362" t="inlineStr">
        <is>
          <t>Föryngringsavverkning</t>
        </is>
      </c>
      <c r="D362" s="1" t="n">
        <v>45455</v>
      </c>
      <c r="E362" s="1" t="n">
        <v>46221</v>
      </c>
      <c r="F362" t="inlineStr">
        <is>
          <t>KALMAR LÄN</t>
        </is>
      </c>
      <c r="G362" t="inlineStr">
        <is>
          <t>HULTSFRED</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51052-2025</t>
        </is>
      </c>
      <c r="B363" t="inlineStr">
        <is>
          <t>avverkningsanmälan</t>
        </is>
      </c>
      <c r="C363" t="inlineStr">
        <is>
          <t>Föryngringsavverkning</t>
        </is>
      </c>
      <c r="D363" s="1" t="n">
        <v>45947</v>
      </c>
      <c r="E363" s="1" t="n">
        <v>46221</v>
      </c>
      <c r="F363" t="inlineStr">
        <is>
          <t>KALMAR LÄN</t>
        </is>
      </c>
      <c r="G363" t="inlineStr">
        <is>
          <t>HULTSFRED</t>
        </is>
      </c>
      <c r="H363" t="inlineStr">
        <is>
          <t>Kyrkan</t>
        </is>
      </c>
      <c r="I363" t="n">
        <v>9.1</v>
      </c>
      <c r="J363" t="n">
        <v>0</v>
      </c>
      <c r="K363" t="n">
        <v>0</v>
      </c>
      <c r="L363" t="n">
        <v>0</v>
      </c>
      <c r="M363" t="n">
        <v>0</v>
      </c>
      <c r="N363" t="n">
        <v>0</v>
      </c>
      <c r="O363" t="n">
        <v>0</v>
      </c>
      <c r="P363" t="n">
        <v>0</v>
      </c>
      <c r="Q363" t="n">
        <v>0</v>
      </c>
      <c r="R363" t="n">
        <v>0</v>
      </c>
      <c r="S363" t="n">
        <v>0</v>
      </c>
      <c r="T363" t="n">
        <v>0</v>
      </c>
      <c r="U363" s="2" t="inlineStr"/>
    </row>
    <row r="364" ht="15" customHeight="1">
      <c r="A364" t="inlineStr">
        <is>
          <t>A 8115-2026</t>
        </is>
      </c>
      <c r="B364" t="inlineStr">
        <is>
          <t>avverkningsanmälan</t>
        </is>
      </c>
      <c r="C364" t="inlineStr">
        <is>
          <t>Avverkning för annat ändamål</t>
        </is>
      </c>
      <c r="D364" s="1" t="n">
        <v>46062</v>
      </c>
      <c r="E364" s="1" t="n">
        <v>46221</v>
      </c>
      <c r="F364" t="inlineStr">
        <is>
          <t>KALMAR LÄN</t>
        </is>
      </c>
      <c r="G364" t="inlineStr">
        <is>
          <t>HULTSFRED</t>
        </is>
      </c>
      <c r="I364" t="n">
        <v>17.2</v>
      </c>
      <c r="J364" t="n">
        <v>0</v>
      </c>
      <c r="K364" t="n">
        <v>0</v>
      </c>
      <c r="L364" t="n">
        <v>0</v>
      </c>
      <c r="M364" t="n">
        <v>0</v>
      </c>
      <c r="N364" t="n">
        <v>0</v>
      </c>
      <c r="O364" t="n">
        <v>0</v>
      </c>
      <c r="P364" t="n">
        <v>0</v>
      </c>
      <c r="Q364" t="n">
        <v>0</v>
      </c>
      <c r="R364" t="n">
        <v>0</v>
      </c>
      <c r="S364" t="n">
        <v>0</v>
      </c>
      <c r="T364" t="n">
        <v>0</v>
      </c>
      <c r="U364" s="2" t="inlineStr"/>
    </row>
    <row r="365" ht="15" customHeight="1">
      <c r="A365" t="inlineStr">
        <is>
          <t>A 38568-2025</t>
        </is>
      </c>
      <c r="B365" t="inlineStr">
        <is>
          <t>avverkningsanmälan</t>
        </is>
      </c>
      <c r="C365" t="inlineStr">
        <is>
          <t>Föryngringsavverkning</t>
        </is>
      </c>
      <c r="D365" s="1" t="n">
        <v>45884</v>
      </c>
      <c r="E365" s="1" t="n">
        <v>46221</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43560-2023</t>
        </is>
      </c>
      <c r="B366" t="inlineStr">
        <is>
          <t>avverkningsanmälan</t>
        </is>
      </c>
      <c r="C366" t="inlineStr">
        <is>
          <t>Föryngringsavverkning</t>
        </is>
      </c>
      <c r="D366" s="1" t="n">
        <v>45184</v>
      </c>
      <c r="E366" s="1" t="n">
        <v>46221</v>
      </c>
      <c r="F366" t="inlineStr">
        <is>
          <t>KALMAR LÄN</t>
        </is>
      </c>
      <c r="G366" t="inlineStr">
        <is>
          <t>HULTSFRED</t>
        </is>
      </c>
      <c r="I366" t="n">
        <v>10.2</v>
      </c>
      <c r="J366" t="n">
        <v>0</v>
      </c>
      <c r="K366" t="n">
        <v>0</v>
      </c>
      <c r="L366" t="n">
        <v>0</v>
      </c>
      <c r="M366" t="n">
        <v>0</v>
      </c>
      <c r="N366" t="n">
        <v>0</v>
      </c>
      <c r="O366" t="n">
        <v>0</v>
      </c>
      <c r="P366" t="n">
        <v>0</v>
      </c>
      <c r="Q366" t="n">
        <v>0</v>
      </c>
      <c r="R366" t="n">
        <v>0</v>
      </c>
      <c r="S366" t="n">
        <v>0</v>
      </c>
      <c r="T366" t="n">
        <v>0</v>
      </c>
      <c r="U366" s="2" t="inlineStr"/>
    </row>
    <row r="367" ht="15" customHeight="1">
      <c r="A367" t="inlineStr">
        <is>
          <t>A 43632-2023</t>
        </is>
      </c>
      <c r="B367" t="inlineStr">
        <is>
          <t>avverkningsanmälan</t>
        </is>
      </c>
      <c r="C367" t="inlineStr">
        <is>
          <t>Föryngringsavverkning</t>
        </is>
      </c>
      <c r="D367" s="1" t="n">
        <v>45185</v>
      </c>
      <c r="E367" s="1" t="n">
        <v>46221</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68102-2021</t>
        </is>
      </c>
      <c r="B368" t="inlineStr">
        <is>
          <t>avverkningsanmälan</t>
        </is>
      </c>
      <c r="C368" t="inlineStr">
        <is>
          <t>Föryngringsavverkning</t>
        </is>
      </c>
      <c r="D368" s="1" t="n">
        <v>44526</v>
      </c>
      <c r="E368" s="1" t="n">
        <v>46221</v>
      </c>
      <c r="F368" t="inlineStr">
        <is>
          <t>KALMAR LÄN</t>
        </is>
      </c>
      <c r="G368" t="inlineStr">
        <is>
          <t>HULTSFRED</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8025-2026</t>
        </is>
      </c>
      <c r="B369" t="inlineStr">
        <is>
          <t>avverkningsanmälan</t>
        </is>
      </c>
      <c r="C369" t="inlineStr">
        <is>
          <t>Föryngringsavverkning</t>
        </is>
      </c>
      <c r="D369" s="1" t="n">
        <v>46063</v>
      </c>
      <c r="E369" s="1" t="n">
        <v>46221</v>
      </c>
      <c r="F369" t="inlineStr">
        <is>
          <t>KALMAR LÄN</t>
        </is>
      </c>
      <c r="G369" t="inlineStr">
        <is>
          <t>HULTSFRED</t>
        </is>
      </c>
      <c r="H369" t="inlineStr">
        <is>
          <t>Övriga Aktiebolag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52133-2025</t>
        </is>
      </c>
      <c r="B370" t="inlineStr">
        <is>
          <t>avverkningsanmälan</t>
        </is>
      </c>
      <c r="C370" t="inlineStr">
        <is>
          <t>Föryngringsavverkning</t>
        </is>
      </c>
      <c r="D370" s="1" t="n">
        <v>45952</v>
      </c>
      <c r="E370" s="1" t="n">
        <v>46221</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36187-2023</t>
        </is>
      </c>
      <c r="B371" t="inlineStr">
        <is>
          <t>avverkningsanmälan</t>
        </is>
      </c>
      <c r="C371" t="inlineStr">
        <is>
          <t>Föryngringsavverkning</t>
        </is>
      </c>
      <c r="D371" s="1" t="n">
        <v>45149</v>
      </c>
      <c r="E371" s="1" t="n">
        <v>46221</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52134-2025</t>
        </is>
      </c>
      <c r="B372" t="inlineStr">
        <is>
          <t>avverkningsanmälan</t>
        </is>
      </c>
      <c r="C372" t="inlineStr">
        <is>
          <t>Föryngringsavverkning</t>
        </is>
      </c>
      <c r="D372" s="1" t="n">
        <v>45952</v>
      </c>
      <c r="E372" s="1" t="n">
        <v>46221</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8759-2026</t>
        </is>
      </c>
      <c r="B373" t="inlineStr">
        <is>
          <t>avverkningsanmälan</t>
        </is>
      </c>
      <c r="C373" t="inlineStr">
        <is>
          <t>Föryngringsavverkning</t>
        </is>
      </c>
      <c r="D373" s="1" t="n">
        <v>46066</v>
      </c>
      <c r="E373" s="1" t="n">
        <v>46221</v>
      </c>
      <c r="F373" t="inlineStr">
        <is>
          <t>KALMAR LÄN</t>
        </is>
      </c>
      <c r="G373" t="inlineStr">
        <is>
          <t>HULTSFRED</t>
        </is>
      </c>
      <c r="H373" t="inlineStr">
        <is>
          <t>Övriga Aktiebolag</t>
        </is>
      </c>
      <c r="I373" t="n">
        <v>6.9</v>
      </c>
      <c r="J373" t="n">
        <v>0</v>
      </c>
      <c r="K373" t="n">
        <v>0</v>
      </c>
      <c r="L373" t="n">
        <v>0</v>
      </c>
      <c r="M373" t="n">
        <v>0</v>
      </c>
      <c r="N373" t="n">
        <v>0</v>
      </c>
      <c r="O373" t="n">
        <v>0</v>
      </c>
      <c r="P373" t="n">
        <v>0</v>
      </c>
      <c r="Q373" t="n">
        <v>0</v>
      </c>
      <c r="R373" t="n">
        <v>0</v>
      </c>
      <c r="S373" t="n">
        <v>0</v>
      </c>
      <c r="T373" t="n">
        <v>0</v>
      </c>
      <c r="U373" s="2" t="inlineStr"/>
    </row>
    <row r="374" ht="15" customHeight="1">
      <c r="A374" t="inlineStr">
        <is>
          <t>A 8443-2026</t>
        </is>
      </c>
      <c r="B374" t="inlineStr">
        <is>
          <t>avverkningsanmälan</t>
        </is>
      </c>
      <c r="C374" t="inlineStr">
        <is>
          <t>Avverkning för annat ändamål</t>
        </is>
      </c>
      <c r="D374" s="1" t="n">
        <v>46065</v>
      </c>
      <c r="E374" s="1" t="n">
        <v>46221</v>
      </c>
      <c r="F374" t="inlineStr">
        <is>
          <t>KALMAR LÄN</t>
        </is>
      </c>
      <c r="G374" t="inlineStr">
        <is>
          <t>HULTSFRED</t>
        </is>
      </c>
      <c r="H374" t="inlineStr">
        <is>
          <t>Sveaskog</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53257-2025</t>
        </is>
      </c>
      <c r="B375" t="inlineStr">
        <is>
          <t>avverkningsanmälan</t>
        </is>
      </c>
      <c r="C375" t="inlineStr">
        <is>
          <t>Föryngringsavverkning</t>
        </is>
      </c>
      <c r="D375" s="1" t="n">
        <v>45958</v>
      </c>
      <c r="E375" s="1" t="n">
        <v>46221</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8876-2025</t>
        </is>
      </c>
      <c r="B376" t="inlineStr">
        <is>
          <t>avverkningsanmälan</t>
        </is>
      </c>
      <c r="C376" t="inlineStr">
        <is>
          <t>Föryngringsavverkning</t>
        </is>
      </c>
      <c r="D376" s="1" t="n">
        <v>45713</v>
      </c>
      <c r="E376" s="1" t="n">
        <v>46221</v>
      </c>
      <c r="F376" t="inlineStr">
        <is>
          <t>KALMAR LÄN</t>
        </is>
      </c>
      <c r="G376" t="inlineStr">
        <is>
          <t>HULTSFRED</t>
        </is>
      </c>
      <c r="H376" t="inlineStr">
        <is>
          <t>Sveaskog</t>
        </is>
      </c>
      <c r="I376" t="n">
        <v>7.7</v>
      </c>
      <c r="J376" t="n">
        <v>0</v>
      </c>
      <c r="K376" t="n">
        <v>0</v>
      </c>
      <c r="L376" t="n">
        <v>0</v>
      </c>
      <c r="M376" t="n">
        <v>0</v>
      </c>
      <c r="N376" t="n">
        <v>0</v>
      </c>
      <c r="O376" t="n">
        <v>0</v>
      </c>
      <c r="P376" t="n">
        <v>0</v>
      </c>
      <c r="Q376" t="n">
        <v>0</v>
      </c>
      <c r="R376" t="n">
        <v>0</v>
      </c>
      <c r="S376" t="n">
        <v>0</v>
      </c>
      <c r="T376" t="n">
        <v>0</v>
      </c>
      <c r="U376" s="2" t="inlineStr"/>
    </row>
    <row r="377" ht="15" customHeight="1">
      <c r="A377" t="inlineStr">
        <is>
          <t>A 8444-2026</t>
        </is>
      </c>
      <c r="B377" t="inlineStr">
        <is>
          <t>avverkningsanmälan</t>
        </is>
      </c>
      <c r="C377" t="inlineStr">
        <is>
          <t>Avverkning för annat ändamål</t>
        </is>
      </c>
      <c r="D377" s="1" t="n">
        <v>46065</v>
      </c>
      <c r="E377" s="1" t="n">
        <v>46221</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10966-2023</t>
        </is>
      </c>
      <c r="B378" t="inlineStr">
        <is>
          <t>avverkningsanmälan</t>
        </is>
      </c>
      <c r="C378" t="inlineStr">
        <is>
          <t>Föryngringsavverkning</t>
        </is>
      </c>
      <c r="D378" s="1" t="n">
        <v>44991</v>
      </c>
      <c r="E378" s="1" t="n">
        <v>46221</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53345-2025</t>
        </is>
      </c>
      <c r="B379" t="inlineStr">
        <is>
          <t>avverkningsanmälan</t>
        </is>
      </c>
      <c r="C379" t="inlineStr">
        <is>
          <t>Föryngringsavverkning</t>
        </is>
      </c>
      <c r="D379" s="1" t="n">
        <v>45959</v>
      </c>
      <c r="E379" s="1" t="n">
        <v>46221</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21758-2024</t>
        </is>
      </c>
      <c r="B380" t="inlineStr">
        <is>
          <t>avverkningsanmälan</t>
        </is>
      </c>
      <c r="C380" t="inlineStr">
        <is>
          <t>Föryngringsavverkning</t>
        </is>
      </c>
      <c r="D380" s="1" t="n">
        <v>45442</v>
      </c>
      <c r="E380" s="1" t="n">
        <v>46221</v>
      </c>
      <c r="F380" t="inlineStr">
        <is>
          <t>KALMAR LÄN</t>
        </is>
      </c>
      <c r="G380" t="inlineStr">
        <is>
          <t>HULTSFRED</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52691-2023</t>
        </is>
      </c>
      <c r="B381" t="inlineStr">
        <is>
          <t>avverkningsanmälan</t>
        </is>
      </c>
      <c r="C381" t="inlineStr">
        <is>
          <t>Föryngringsavverkning</t>
        </is>
      </c>
      <c r="D381" s="1" t="n">
        <v>45225</v>
      </c>
      <c r="E381" s="1" t="n">
        <v>46221</v>
      </c>
      <c r="F381" t="inlineStr">
        <is>
          <t>KALMAR LÄN</t>
        </is>
      </c>
      <c r="G381" t="inlineStr">
        <is>
          <t>HULTSFRED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53900-2025</t>
        </is>
      </c>
      <c r="B382" t="inlineStr">
        <is>
          <t>avverkningsanmälan</t>
        </is>
      </c>
      <c r="C382" t="inlineStr">
        <is>
          <t>Föryngringsavverkning</t>
        </is>
      </c>
      <c r="D382" s="1" t="n">
        <v>45961</v>
      </c>
      <c r="E382" s="1" t="n">
        <v>46221</v>
      </c>
      <c r="F382" t="inlineStr">
        <is>
          <t>KALMAR LÄN</t>
        </is>
      </c>
      <c r="G382" t="inlineStr">
        <is>
          <t>HULTSFRED</t>
        </is>
      </c>
      <c r="H382" t="inlineStr">
        <is>
          <t>Sveaskog</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53910-2025</t>
        </is>
      </c>
      <c r="B383" t="inlineStr">
        <is>
          <t>avverkningsanmälan</t>
        </is>
      </c>
      <c r="C383" t="inlineStr">
        <is>
          <t>Föryngringsavverkning</t>
        </is>
      </c>
      <c r="D383" s="1" t="n">
        <v>45961</v>
      </c>
      <c r="E383" s="1" t="n">
        <v>46221</v>
      </c>
      <c r="F383" t="inlineStr">
        <is>
          <t>KALMAR LÄN</t>
        </is>
      </c>
      <c r="G383" t="inlineStr">
        <is>
          <t>HULTSFRED</t>
        </is>
      </c>
      <c r="H383" t="inlineStr">
        <is>
          <t>Sveaskog</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53914-2025</t>
        </is>
      </c>
      <c r="B384" t="inlineStr">
        <is>
          <t>avverkningsanmälan</t>
        </is>
      </c>
      <c r="C384" t="inlineStr">
        <is>
          <t>Föryngringsavverkning</t>
        </is>
      </c>
      <c r="D384" s="1" t="n">
        <v>45961</v>
      </c>
      <c r="E384" s="1" t="n">
        <v>46221</v>
      </c>
      <c r="F384" t="inlineStr">
        <is>
          <t>KALMAR LÄN</t>
        </is>
      </c>
      <c r="G384" t="inlineStr">
        <is>
          <t>HULTSFRED</t>
        </is>
      </c>
      <c r="H384" t="inlineStr">
        <is>
          <t>Sveaskog</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53912-2025</t>
        </is>
      </c>
      <c r="B385" t="inlineStr">
        <is>
          <t>avverkningsanmälan</t>
        </is>
      </c>
      <c r="C385" t="inlineStr">
        <is>
          <t>Föryngringsavverkning</t>
        </is>
      </c>
      <c r="D385" s="1" t="n">
        <v>45961</v>
      </c>
      <c r="E385" s="1" t="n">
        <v>46221</v>
      </c>
      <c r="F385" t="inlineStr">
        <is>
          <t>KALMAR LÄN</t>
        </is>
      </c>
      <c r="G385" t="inlineStr">
        <is>
          <t>HULTSFRED</t>
        </is>
      </c>
      <c r="H385" t="inlineStr">
        <is>
          <t>Sveaskog</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53907-2025</t>
        </is>
      </c>
      <c r="B386" t="inlineStr">
        <is>
          <t>avverkningsanmälan</t>
        </is>
      </c>
      <c r="C386" t="inlineStr">
        <is>
          <t>Föryngringsavverkning</t>
        </is>
      </c>
      <c r="D386" s="1" t="n">
        <v>45961</v>
      </c>
      <c r="E386" s="1" t="n">
        <v>46221</v>
      </c>
      <c r="F386" t="inlineStr">
        <is>
          <t>KALMAR LÄN</t>
        </is>
      </c>
      <c r="G386" t="inlineStr">
        <is>
          <t>HULTSFRED</t>
        </is>
      </c>
      <c r="H386" t="inlineStr">
        <is>
          <t>Sveaskog</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28270-2024</t>
        </is>
      </c>
      <c r="B387" t="inlineStr">
        <is>
          <t>avverkningsanmälan</t>
        </is>
      </c>
      <c r="C387" t="inlineStr">
        <is>
          <t>Föryngringsavverkning</t>
        </is>
      </c>
      <c r="D387" s="1" t="n">
        <v>45477</v>
      </c>
      <c r="E387" s="1" t="n">
        <v>46221</v>
      </c>
      <c r="F387" t="inlineStr">
        <is>
          <t>KALMAR LÄN</t>
        </is>
      </c>
      <c r="G387" t="inlineStr">
        <is>
          <t>HULTSFRED</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54348-2025</t>
        </is>
      </c>
      <c r="B388" t="inlineStr">
        <is>
          <t>avverkningsanmälan</t>
        </is>
      </c>
      <c r="C388" t="inlineStr">
        <is>
          <t>Föryngringsavverkning</t>
        </is>
      </c>
      <c r="D388" s="1" t="n">
        <v>45964</v>
      </c>
      <c r="E388" s="1" t="n">
        <v>46221</v>
      </c>
      <c r="F388" t="inlineStr">
        <is>
          <t>KALMAR LÄN</t>
        </is>
      </c>
      <c r="G388" t="inlineStr">
        <is>
          <t>HULTSFRED</t>
        </is>
      </c>
      <c r="I388" t="n">
        <v>6.4</v>
      </c>
      <c r="J388" t="n">
        <v>0</v>
      </c>
      <c r="K388" t="n">
        <v>0</v>
      </c>
      <c r="L388" t="n">
        <v>0</v>
      </c>
      <c r="M388" t="n">
        <v>0</v>
      </c>
      <c r="N388" t="n">
        <v>0</v>
      </c>
      <c r="O388" t="n">
        <v>0</v>
      </c>
      <c r="P388" t="n">
        <v>0</v>
      </c>
      <c r="Q388" t="n">
        <v>0</v>
      </c>
      <c r="R388" t="n">
        <v>0</v>
      </c>
      <c r="S388" t="n">
        <v>0</v>
      </c>
      <c r="T388" t="n">
        <v>0</v>
      </c>
      <c r="U388" s="2" t="inlineStr"/>
    </row>
    <row r="389" ht="15" customHeight="1">
      <c r="A389" t="inlineStr">
        <is>
          <t>A 53908-2025</t>
        </is>
      </c>
      <c r="B389" t="inlineStr">
        <is>
          <t>avverkningsanmälan</t>
        </is>
      </c>
      <c r="C389" t="inlineStr">
        <is>
          <t>Föryngringsavverkning</t>
        </is>
      </c>
      <c r="D389" s="1" t="n">
        <v>45961</v>
      </c>
      <c r="E389" s="1" t="n">
        <v>46221</v>
      </c>
      <c r="F389" t="inlineStr">
        <is>
          <t>KALMAR LÄN</t>
        </is>
      </c>
      <c r="G389" t="inlineStr">
        <is>
          <t>HULTSFRED</t>
        </is>
      </c>
      <c r="H389" t="inlineStr">
        <is>
          <t>Sveaskog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53905-2025</t>
        </is>
      </c>
      <c r="B390" t="inlineStr">
        <is>
          <t>avverkningsanmälan</t>
        </is>
      </c>
      <c r="C390" t="inlineStr">
        <is>
          <t>Föryngringsavverkning</t>
        </is>
      </c>
      <c r="D390" s="1" t="n">
        <v>45961</v>
      </c>
      <c r="E390" s="1" t="n">
        <v>46221</v>
      </c>
      <c r="F390" t="inlineStr">
        <is>
          <t>KALMAR LÄN</t>
        </is>
      </c>
      <c r="G390" t="inlineStr">
        <is>
          <t>HULTSFRED</t>
        </is>
      </c>
      <c r="H390" t="inlineStr">
        <is>
          <t>Sveaskog</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53901-2025</t>
        </is>
      </c>
      <c r="B391" t="inlineStr">
        <is>
          <t>avverkningsanmälan</t>
        </is>
      </c>
      <c r="C391" t="inlineStr">
        <is>
          <t>Föryngringsavverkning</t>
        </is>
      </c>
      <c r="D391" s="1" t="n">
        <v>45961</v>
      </c>
      <c r="E391" s="1" t="n">
        <v>46221</v>
      </c>
      <c r="F391" t="inlineStr">
        <is>
          <t>KALMAR LÄN</t>
        </is>
      </c>
      <c r="G391" t="inlineStr">
        <is>
          <t>HULTSFRED</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10229-2026</t>
        </is>
      </c>
      <c r="B392" t="inlineStr">
        <is>
          <t>avverkningsanmälan</t>
        </is>
      </c>
      <c r="C392" t="inlineStr">
        <is>
          <t>Föryngringsavverkning</t>
        </is>
      </c>
      <c r="D392" s="1" t="n">
        <v>46076</v>
      </c>
      <c r="E392" s="1" t="n">
        <v>46221</v>
      </c>
      <c r="F392" t="inlineStr">
        <is>
          <t>KALMAR LÄN</t>
        </is>
      </c>
      <c r="G392" t="inlineStr">
        <is>
          <t>HULTSFRED</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8641-2026</t>
        </is>
      </c>
      <c r="B393" t="inlineStr">
        <is>
          <t>avverkningsanmälan</t>
        </is>
      </c>
      <c r="C393" t="inlineStr">
        <is>
          <t>Avverkning för att bevara och utveckla /försöksver</t>
        </is>
      </c>
      <c r="D393" s="1" t="n">
        <v>46066</v>
      </c>
      <c r="E393" s="1" t="n">
        <v>46221</v>
      </c>
      <c r="F393" t="inlineStr">
        <is>
          <t>KALMAR LÄN</t>
        </is>
      </c>
      <c r="G393" t="inlineStr">
        <is>
          <t>HULTSFRED</t>
        </is>
      </c>
      <c r="I393" t="n">
        <v>8.4</v>
      </c>
      <c r="J393" t="n">
        <v>0</v>
      </c>
      <c r="K393" t="n">
        <v>0</v>
      </c>
      <c r="L393" t="n">
        <v>0</v>
      </c>
      <c r="M393" t="n">
        <v>0</v>
      </c>
      <c r="N393" t="n">
        <v>0</v>
      </c>
      <c r="O393" t="n">
        <v>0</v>
      </c>
      <c r="P393" t="n">
        <v>0</v>
      </c>
      <c r="Q393" t="n">
        <v>0</v>
      </c>
      <c r="R393" t="n">
        <v>0</v>
      </c>
      <c r="S393" t="n">
        <v>0</v>
      </c>
      <c r="T393" t="n">
        <v>0</v>
      </c>
      <c r="U393" s="2" t="inlineStr"/>
    </row>
    <row r="394" ht="15" customHeight="1">
      <c r="A394" t="inlineStr">
        <is>
          <t>A 13864-2024</t>
        </is>
      </c>
      <c r="B394" t="inlineStr">
        <is>
          <t>avverkningsanmälan</t>
        </is>
      </c>
      <c r="C394" t="inlineStr">
        <is>
          <t>Föryngringsavverkning</t>
        </is>
      </c>
      <c r="D394" s="1" t="n">
        <v>45390</v>
      </c>
      <c r="E394" s="1" t="n">
        <v>46221</v>
      </c>
      <c r="F394" t="inlineStr">
        <is>
          <t>KALMAR LÄN</t>
        </is>
      </c>
      <c r="G394" t="inlineStr">
        <is>
          <t>HULTSFRED</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13974-2023</t>
        </is>
      </c>
      <c r="B395" t="inlineStr">
        <is>
          <t>avverkningsanmälan</t>
        </is>
      </c>
      <c r="C395" t="inlineStr">
        <is>
          <t>Föryngringsavverkning</t>
        </is>
      </c>
      <c r="D395" s="1" t="n">
        <v>45008</v>
      </c>
      <c r="E395" s="1" t="n">
        <v>46221</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54308-2025</t>
        </is>
      </c>
      <c r="B396" t="inlineStr">
        <is>
          <t>avverkningsanmälan</t>
        </is>
      </c>
      <c r="C396" t="inlineStr">
        <is>
          <t>Avverkning för att bevara och utveckla /försöksver</t>
        </is>
      </c>
      <c r="D396" s="1" t="n">
        <v>45965</v>
      </c>
      <c r="E396" s="1" t="n">
        <v>46221</v>
      </c>
      <c r="F396" t="inlineStr">
        <is>
          <t>KALMAR LÄN</t>
        </is>
      </c>
      <c r="G396" t="inlineStr">
        <is>
          <t>HULTSFRED</t>
        </is>
      </c>
      <c r="H396" t="inlineStr">
        <is>
          <t>Sveaskog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28666-2023</t>
        </is>
      </c>
      <c r="B397" t="inlineStr">
        <is>
          <t>avverkningsanmälan</t>
        </is>
      </c>
      <c r="C397" t="inlineStr">
        <is>
          <t>Föryngringsavverkning</t>
        </is>
      </c>
      <c r="D397" s="1" t="n">
        <v>45103</v>
      </c>
      <c r="E397" s="1" t="n">
        <v>46221</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39941-2023</t>
        </is>
      </c>
      <c r="B398" t="inlineStr">
        <is>
          <t>avverkningsanmälan</t>
        </is>
      </c>
      <c r="C398" t="inlineStr">
        <is>
          <t>Föryngringsavverkning</t>
        </is>
      </c>
      <c r="D398" s="1" t="n">
        <v>45168</v>
      </c>
      <c r="E398" s="1" t="n">
        <v>46221</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39977-2023</t>
        </is>
      </c>
      <c r="B399" t="inlineStr">
        <is>
          <t>avverkningsanmälan</t>
        </is>
      </c>
      <c r="C399" t="inlineStr">
        <is>
          <t>Föryngringsavverkning</t>
        </is>
      </c>
      <c r="D399" s="1" t="n">
        <v>45168</v>
      </c>
      <c r="E399" s="1" t="n">
        <v>46221</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4223-2025</t>
        </is>
      </c>
      <c r="B400" t="inlineStr">
        <is>
          <t>avverkningsanmälan</t>
        </is>
      </c>
      <c r="C400" t="inlineStr">
        <is>
          <t>Föryngringsavverkning</t>
        </is>
      </c>
      <c r="D400" s="1" t="n">
        <v>45685</v>
      </c>
      <c r="E400" s="1" t="n">
        <v>46221</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10227-2026</t>
        </is>
      </c>
      <c r="B401" t="inlineStr">
        <is>
          <t>avverkningsanmälan</t>
        </is>
      </c>
      <c r="C401" t="inlineStr">
        <is>
          <t>Föryngringsavverkning</t>
        </is>
      </c>
      <c r="D401" s="1" t="n">
        <v>46076</v>
      </c>
      <c r="E401" s="1" t="n">
        <v>46221</v>
      </c>
      <c r="F401" t="inlineStr">
        <is>
          <t>KALMAR LÄN</t>
        </is>
      </c>
      <c r="G401" t="inlineStr">
        <is>
          <t>HULTSFRED</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26308-2023</t>
        </is>
      </c>
      <c r="B402" t="inlineStr">
        <is>
          <t>avverkningsanmälan</t>
        </is>
      </c>
      <c r="C402" t="inlineStr">
        <is>
          <t>Föryngringsavverkning</t>
        </is>
      </c>
      <c r="D402" s="1" t="n">
        <v>45091</v>
      </c>
      <c r="E402" s="1" t="n">
        <v>46221</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1033-2023</t>
        </is>
      </c>
      <c r="B403" t="inlineStr">
        <is>
          <t>avverkningsanmälan</t>
        </is>
      </c>
      <c r="C403" t="inlineStr">
        <is>
          <t>Föryngringsavverkning</t>
        </is>
      </c>
      <c r="D403" s="1" t="n">
        <v>44935</v>
      </c>
      <c r="E403" s="1" t="n">
        <v>46221</v>
      </c>
      <c r="F403" t="inlineStr">
        <is>
          <t>KALMAR LÄN</t>
        </is>
      </c>
      <c r="G403" t="inlineStr">
        <is>
          <t>HULTSFRED</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11010-2026</t>
        </is>
      </c>
      <c r="B404" t="inlineStr">
        <is>
          <t>avverkningsanmälan</t>
        </is>
      </c>
      <c r="C404" t="inlineStr">
        <is>
          <t>Föryngringsavverkning</t>
        </is>
      </c>
      <c r="D404" s="1" t="n">
        <v>46078</v>
      </c>
      <c r="E404" s="1" t="n">
        <v>46221</v>
      </c>
      <c r="F404" t="inlineStr">
        <is>
          <t>KALMAR LÄN</t>
        </is>
      </c>
      <c r="G404" t="inlineStr">
        <is>
          <t>HULTSFRED</t>
        </is>
      </c>
      <c r="H404" t="inlineStr">
        <is>
          <t>Kommuner</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45047-2023</t>
        </is>
      </c>
      <c r="B405" t="inlineStr">
        <is>
          <t>avverkningsanmälan</t>
        </is>
      </c>
      <c r="C405" t="inlineStr">
        <is>
          <t>Föryngringsavverkning</t>
        </is>
      </c>
      <c r="D405" s="1" t="n">
        <v>45191</v>
      </c>
      <c r="E405" s="1" t="n">
        <v>46221</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2776-2025</t>
        </is>
      </c>
      <c r="B406" t="inlineStr">
        <is>
          <t>avverkningsanmälan</t>
        </is>
      </c>
      <c r="C406" t="inlineStr">
        <is>
          <t>Avverkning för annat ändamål</t>
        </is>
      </c>
      <c r="D406" s="1" t="n">
        <v>45677</v>
      </c>
      <c r="E406" s="1" t="n">
        <v>46221</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50341-2023</t>
        </is>
      </c>
      <c r="B407" t="inlineStr">
        <is>
          <t>avverkningsanmälan</t>
        </is>
      </c>
      <c r="C407" t="inlineStr">
        <is>
          <t>Föryngringsavverkning</t>
        </is>
      </c>
      <c r="D407" s="1" t="n">
        <v>45216</v>
      </c>
      <c r="E407" s="1" t="n">
        <v>46221</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55971-2025</t>
        </is>
      </c>
      <c r="B408" t="inlineStr">
        <is>
          <t>avverkningsanmälan</t>
        </is>
      </c>
      <c r="C408" t="inlineStr">
        <is>
          <t>Föryngringsavverkning</t>
        </is>
      </c>
      <c r="D408" s="1" t="n">
        <v>45973</v>
      </c>
      <c r="E408" s="1" t="n">
        <v>46221</v>
      </c>
      <c r="F408" t="inlineStr">
        <is>
          <t>KALMAR LÄN</t>
        </is>
      </c>
      <c r="G408" t="inlineStr">
        <is>
          <t>HULTSFRED</t>
        </is>
      </c>
      <c r="I408" t="n">
        <v>4.9</v>
      </c>
      <c r="J408" t="n">
        <v>0</v>
      </c>
      <c r="K408" t="n">
        <v>0</v>
      </c>
      <c r="L408" t="n">
        <v>0</v>
      </c>
      <c r="M408" t="n">
        <v>0</v>
      </c>
      <c r="N408" t="n">
        <v>0</v>
      </c>
      <c r="O408" t="n">
        <v>0</v>
      </c>
      <c r="P408" t="n">
        <v>0</v>
      </c>
      <c r="Q408" t="n">
        <v>0</v>
      </c>
      <c r="R408" t="n">
        <v>0</v>
      </c>
      <c r="S408" t="n">
        <v>0</v>
      </c>
      <c r="T408" t="n">
        <v>0</v>
      </c>
      <c r="U408" s="2" t="inlineStr"/>
    </row>
    <row r="409" ht="15" customHeight="1">
      <c r="A409" t="inlineStr">
        <is>
          <t>A 56919-2022</t>
        </is>
      </c>
      <c r="B409" t="inlineStr">
        <is>
          <t>avverkningsanmälan</t>
        </is>
      </c>
      <c r="C409" t="inlineStr">
        <is>
          <t>Föryngringsavverkning</t>
        </is>
      </c>
      <c r="D409" s="1" t="n">
        <v>44894</v>
      </c>
      <c r="E409" s="1" t="n">
        <v>46221</v>
      </c>
      <c r="F409" t="inlineStr">
        <is>
          <t>KALMAR LÄN</t>
        </is>
      </c>
      <c r="G409" t="inlineStr">
        <is>
          <t>HULTSFRED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11412-2026</t>
        </is>
      </c>
      <c r="B410" t="inlineStr">
        <is>
          <t>avverkningsanmälan</t>
        </is>
      </c>
      <c r="C410" t="inlineStr">
        <is>
          <t>Föryngringsavverkning</t>
        </is>
      </c>
      <c r="D410" s="1" t="n">
        <v>46083</v>
      </c>
      <c r="E410" s="1" t="n">
        <v>46221</v>
      </c>
      <c r="F410" t="inlineStr">
        <is>
          <t>KALMAR LÄN</t>
        </is>
      </c>
      <c r="G410" t="inlineStr">
        <is>
          <t>HULTSFRED</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54369-2021</t>
        </is>
      </c>
      <c r="B411" t="inlineStr">
        <is>
          <t>avverkningsanmälan</t>
        </is>
      </c>
      <c r="C411" t="inlineStr">
        <is>
          <t>Föryngringsavverkning</t>
        </is>
      </c>
      <c r="D411" s="1" t="n">
        <v>44473</v>
      </c>
      <c r="E411" s="1" t="n">
        <v>46221</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16877-2025</t>
        </is>
      </c>
      <c r="B412" t="inlineStr">
        <is>
          <t>avverkningsanmälan</t>
        </is>
      </c>
      <c r="C412" t="inlineStr">
        <is>
          <t>Avverkning för att bevara och utveckla /försöksver</t>
        </is>
      </c>
      <c r="D412" s="1" t="n">
        <v>45755</v>
      </c>
      <c r="E412" s="1" t="n">
        <v>46221</v>
      </c>
      <c r="F412" t="inlineStr">
        <is>
          <t>KALMAR LÄN</t>
        </is>
      </c>
      <c r="G412" t="inlineStr">
        <is>
          <t>HULTSFRED</t>
        </is>
      </c>
      <c r="H412" t="inlineStr">
        <is>
          <t>Sveaskog</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16888-2025</t>
        </is>
      </c>
      <c r="B413" t="inlineStr">
        <is>
          <t>avverkningsanmälan</t>
        </is>
      </c>
      <c r="C413" t="inlineStr">
        <is>
          <t>Avverkning för att bevara och utveckla /försöksver</t>
        </is>
      </c>
      <c r="D413" s="1" t="n">
        <v>45755</v>
      </c>
      <c r="E413" s="1" t="n">
        <v>46221</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16889-2025</t>
        </is>
      </c>
      <c r="B414" t="inlineStr">
        <is>
          <t>avverkningsanmälan</t>
        </is>
      </c>
      <c r="C414" t="inlineStr">
        <is>
          <t>Avverkning för att bevara och utveckla /försöksver</t>
        </is>
      </c>
      <c r="D414" s="1" t="n">
        <v>45755</v>
      </c>
      <c r="E414" s="1" t="n">
        <v>46221</v>
      </c>
      <c r="F414" t="inlineStr">
        <is>
          <t>KALMAR LÄN</t>
        </is>
      </c>
      <c r="G414" t="inlineStr">
        <is>
          <t>HULTSFRED</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46341-2023</t>
        </is>
      </c>
      <c r="B415" t="inlineStr">
        <is>
          <t>avverkningsanmälan</t>
        </is>
      </c>
      <c r="C415" t="inlineStr">
        <is>
          <t>Föryngringsavverkning</t>
        </is>
      </c>
      <c r="D415" s="1" t="n">
        <v>45197</v>
      </c>
      <c r="E415" s="1" t="n">
        <v>46221</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46411-2023</t>
        </is>
      </c>
      <c r="B416" t="inlineStr">
        <is>
          <t>avverkningsanmälan</t>
        </is>
      </c>
      <c r="C416" t="inlineStr">
        <is>
          <t>Föryngringsavverkning</t>
        </is>
      </c>
      <c r="D416" s="1" t="n">
        <v>45194</v>
      </c>
      <c r="E416" s="1" t="n">
        <v>46221</v>
      </c>
      <c r="F416" t="inlineStr">
        <is>
          <t>KALMAR LÄN</t>
        </is>
      </c>
      <c r="G416" t="inlineStr">
        <is>
          <t>HULTSFRED</t>
        </is>
      </c>
      <c r="I416" t="n">
        <v>3.8</v>
      </c>
      <c r="J416" t="n">
        <v>0</v>
      </c>
      <c r="K416" t="n">
        <v>0</v>
      </c>
      <c r="L416" t="n">
        <v>0</v>
      </c>
      <c r="M416" t="n">
        <v>0</v>
      </c>
      <c r="N416" t="n">
        <v>0</v>
      </c>
      <c r="O416" t="n">
        <v>0</v>
      </c>
      <c r="P416" t="n">
        <v>0</v>
      </c>
      <c r="Q416" t="n">
        <v>0</v>
      </c>
      <c r="R416" t="n">
        <v>0</v>
      </c>
      <c r="S416" t="n">
        <v>0</v>
      </c>
      <c r="T416" t="n">
        <v>0</v>
      </c>
      <c r="U416" s="2" t="inlineStr"/>
    </row>
    <row r="417" ht="15" customHeight="1">
      <c r="A417" t="inlineStr">
        <is>
          <t>A 57546-2025</t>
        </is>
      </c>
      <c r="B417" t="inlineStr">
        <is>
          <t>avverkningsanmälan</t>
        </is>
      </c>
      <c r="C417" t="inlineStr">
        <is>
          <t>Föryngringsavverkning</t>
        </is>
      </c>
      <c r="D417" s="1" t="n">
        <v>45980</v>
      </c>
      <c r="E417" s="1" t="n">
        <v>46221</v>
      </c>
      <c r="F417" t="inlineStr">
        <is>
          <t>KALMAR LÄN</t>
        </is>
      </c>
      <c r="G417" t="inlineStr">
        <is>
          <t>HULTSFRED</t>
        </is>
      </c>
      <c r="I417" t="n">
        <v>11.5</v>
      </c>
      <c r="J417" t="n">
        <v>0</v>
      </c>
      <c r="K417" t="n">
        <v>0</v>
      </c>
      <c r="L417" t="n">
        <v>0</v>
      </c>
      <c r="M417" t="n">
        <v>0</v>
      </c>
      <c r="N417" t="n">
        <v>0</v>
      </c>
      <c r="O417" t="n">
        <v>0</v>
      </c>
      <c r="P417" t="n">
        <v>0</v>
      </c>
      <c r="Q417" t="n">
        <v>0</v>
      </c>
      <c r="R417" t="n">
        <v>0</v>
      </c>
      <c r="S417" t="n">
        <v>0</v>
      </c>
      <c r="T417" t="n">
        <v>0</v>
      </c>
      <c r="U417" s="2" t="inlineStr"/>
    </row>
    <row r="418" ht="15" customHeight="1">
      <c r="A418" t="inlineStr">
        <is>
          <t>A 35816-2024</t>
        </is>
      </c>
      <c r="B418" t="inlineStr">
        <is>
          <t>avverkningsanmälan</t>
        </is>
      </c>
      <c r="C418" t="inlineStr">
        <is>
          <t>Föryngringsavverkning</t>
        </is>
      </c>
      <c r="D418" s="1" t="n">
        <v>45532</v>
      </c>
      <c r="E418" s="1" t="n">
        <v>46221</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4965-2025</t>
        </is>
      </c>
      <c r="B419" t="inlineStr">
        <is>
          <t>avverkningsanmälan</t>
        </is>
      </c>
      <c r="C419" t="inlineStr">
        <is>
          <t>Föryngringsavverkning</t>
        </is>
      </c>
      <c r="D419" s="1" t="n">
        <v>45690</v>
      </c>
      <c r="E419" s="1" t="n">
        <v>46221</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A 58043-2025</t>
        </is>
      </c>
      <c r="B420" t="inlineStr">
        <is>
          <t>avverkningsanmälan</t>
        </is>
      </c>
      <c r="C420" t="inlineStr">
        <is>
          <t>Föryngringsavverkning</t>
        </is>
      </c>
      <c r="D420" s="1" t="n">
        <v>45982</v>
      </c>
      <c r="E420" s="1" t="n">
        <v>46221</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19185-2023</t>
        </is>
      </c>
      <c r="B421" t="inlineStr">
        <is>
          <t>avverkningsanmälan</t>
        </is>
      </c>
      <c r="C421" t="inlineStr">
        <is>
          <t>Föryngringsavverkning</t>
        </is>
      </c>
      <c r="D421" s="1" t="n">
        <v>45048</v>
      </c>
      <c r="E421" s="1" t="n">
        <v>46221</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50894-2023</t>
        </is>
      </c>
      <c r="B422" t="inlineStr">
        <is>
          <t>avverkningsanmälan</t>
        </is>
      </c>
      <c r="C422" t="inlineStr">
        <is>
          <t>Föryngringsavverkning</t>
        </is>
      </c>
      <c r="D422" s="1" t="n">
        <v>45218</v>
      </c>
      <c r="E422" s="1" t="n">
        <v>46221</v>
      </c>
      <c r="F422" t="inlineStr">
        <is>
          <t>KALMAR LÄN</t>
        </is>
      </c>
      <c r="G422" t="inlineStr">
        <is>
          <t>HULTSFRED</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58094-2023</t>
        </is>
      </c>
      <c r="B423" t="inlineStr">
        <is>
          <t>avverkningsanmälan</t>
        </is>
      </c>
      <c r="C423" t="inlineStr">
        <is>
          <t>Föryngringsavverkning</t>
        </is>
      </c>
      <c r="D423" s="1" t="n">
        <v>45248</v>
      </c>
      <c r="E423" s="1" t="n">
        <v>46221</v>
      </c>
      <c r="F423" t="inlineStr">
        <is>
          <t>KALMAR LÄN</t>
        </is>
      </c>
      <c r="G423" t="inlineStr">
        <is>
          <t>HULTSFRED</t>
        </is>
      </c>
      <c r="I423" t="n">
        <v>8</v>
      </c>
      <c r="J423" t="n">
        <v>0</v>
      </c>
      <c r="K423" t="n">
        <v>0</v>
      </c>
      <c r="L423" t="n">
        <v>0</v>
      </c>
      <c r="M423" t="n">
        <v>0</v>
      </c>
      <c r="N423" t="n">
        <v>0</v>
      </c>
      <c r="O423" t="n">
        <v>0</v>
      </c>
      <c r="P423" t="n">
        <v>0</v>
      </c>
      <c r="Q423" t="n">
        <v>0</v>
      </c>
      <c r="R423" t="n">
        <v>0</v>
      </c>
      <c r="S423" t="n">
        <v>0</v>
      </c>
      <c r="T423" t="n">
        <v>0</v>
      </c>
      <c r="U423" s="2" t="inlineStr"/>
    </row>
    <row r="424" ht="15" customHeight="1">
      <c r="A424" t="inlineStr">
        <is>
          <t>A 15236-2023</t>
        </is>
      </c>
      <c r="B424" t="inlineStr">
        <is>
          <t>avverkningsanmälan</t>
        </is>
      </c>
      <c r="C424" t="inlineStr">
        <is>
          <t>Föryngringsavverkning</t>
        </is>
      </c>
      <c r="D424" s="1" t="n">
        <v>45019</v>
      </c>
      <c r="E424" s="1" t="n">
        <v>46221</v>
      </c>
      <c r="F424" t="inlineStr">
        <is>
          <t>KALMAR LÄN</t>
        </is>
      </c>
      <c r="G424" t="inlineStr">
        <is>
          <t>HULTSFRED</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15244-2023</t>
        </is>
      </c>
      <c r="B425" t="inlineStr">
        <is>
          <t>avverkningsanmälan</t>
        </is>
      </c>
      <c r="C425" t="inlineStr">
        <is>
          <t>Föryngringsavverkning</t>
        </is>
      </c>
      <c r="D425" s="1" t="n">
        <v>45019</v>
      </c>
      <c r="E425" s="1" t="n">
        <v>46221</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13449-2025</t>
        </is>
      </c>
      <c r="B426" t="inlineStr">
        <is>
          <t>avverkningsanmälan</t>
        </is>
      </c>
      <c r="C426" t="inlineStr">
        <is>
          <t>Avverkning för annat ändamål</t>
        </is>
      </c>
      <c r="D426" s="1" t="n">
        <v>45736</v>
      </c>
      <c r="E426" s="1" t="n">
        <v>46221</v>
      </c>
      <c r="F426" t="inlineStr">
        <is>
          <t>KALMAR LÄN</t>
        </is>
      </c>
      <c r="G426" t="inlineStr">
        <is>
          <t>HULTSFRED</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30386-2023</t>
        </is>
      </c>
      <c r="B427" t="inlineStr">
        <is>
          <t>avverkningsanmälan</t>
        </is>
      </c>
      <c r="C427" t="inlineStr">
        <is>
          <t>Föryngringsavverkning</t>
        </is>
      </c>
      <c r="D427" s="1" t="n">
        <v>45099</v>
      </c>
      <c r="E427" s="1" t="n">
        <v>46221</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10995-2025</t>
        </is>
      </c>
      <c r="B428" t="inlineStr">
        <is>
          <t>avverkningsanmälan</t>
        </is>
      </c>
      <c r="C428" t="inlineStr">
        <is>
          <t>Avverkning för att bevara och utveckla /försöksver</t>
        </is>
      </c>
      <c r="D428" s="1" t="n">
        <v>45723</v>
      </c>
      <c r="E428" s="1" t="n">
        <v>46221</v>
      </c>
      <c r="F428" t="inlineStr">
        <is>
          <t>KALMAR LÄN</t>
        </is>
      </c>
      <c r="G428" t="inlineStr">
        <is>
          <t>HULTSFRED</t>
        </is>
      </c>
      <c r="H428" t="inlineStr">
        <is>
          <t>Sveaskog</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60435-2025</t>
        </is>
      </c>
      <c r="B429" t="inlineStr">
        <is>
          <t>avverkningsanmälan</t>
        </is>
      </c>
      <c r="C429" t="inlineStr">
        <is>
          <t>Föryngringsavverkning</t>
        </is>
      </c>
      <c r="D429" s="1" t="n">
        <v>45995</v>
      </c>
      <c r="E429" s="1" t="n">
        <v>46221</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211-2022</t>
        </is>
      </c>
      <c r="B430" t="inlineStr">
        <is>
          <t>avverkningsanmälan</t>
        </is>
      </c>
      <c r="C430" t="inlineStr">
        <is>
          <t>Avverkning för annat ändamål</t>
        </is>
      </c>
      <c r="D430" s="1" t="n">
        <v>44564</v>
      </c>
      <c r="E430" s="1" t="n">
        <v>46221</v>
      </c>
      <c r="F430" t="inlineStr">
        <is>
          <t>KALMAR LÄN</t>
        </is>
      </c>
      <c r="G430" t="inlineStr">
        <is>
          <t>HULTSFRED</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60792-2025</t>
        </is>
      </c>
      <c r="B431" t="inlineStr">
        <is>
          <t>avverkningsanmälan</t>
        </is>
      </c>
      <c r="C431" t="inlineStr">
        <is>
          <t>Föryngringsavverkning</t>
        </is>
      </c>
      <c r="D431" s="1" t="n">
        <v>45999</v>
      </c>
      <c r="E431" s="1" t="n">
        <v>46221</v>
      </c>
      <c r="F431" t="inlineStr">
        <is>
          <t>KALMAR LÄN</t>
        </is>
      </c>
      <c r="G431" t="inlineStr">
        <is>
          <t>HULTSFRED</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60797-2025</t>
        </is>
      </c>
      <c r="B432" t="inlineStr">
        <is>
          <t>avverkningsanmälan</t>
        </is>
      </c>
      <c r="C432" t="inlineStr">
        <is>
          <t>Föryngringsavverkning</t>
        </is>
      </c>
      <c r="D432" s="1" t="n">
        <v>45999</v>
      </c>
      <c r="E432" s="1" t="n">
        <v>46221</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4944-2022</t>
        </is>
      </c>
      <c r="B433" t="inlineStr">
        <is>
          <t>avverkningsanmälan</t>
        </is>
      </c>
      <c r="C433" t="inlineStr">
        <is>
          <t>Föryngringsavverkning</t>
        </is>
      </c>
      <c r="D433" s="1" t="n">
        <v>44593</v>
      </c>
      <c r="E433" s="1" t="n">
        <v>46221</v>
      </c>
      <c r="F433" t="inlineStr">
        <is>
          <t>KALMAR LÄN</t>
        </is>
      </c>
      <c r="G433" t="inlineStr">
        <is>
          <t>HULTSFRED</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115-2023</t>
        </is>
      </c>
      <c r="B434" t="inlineStr">
        <is>
          <t>avverkningsanmälan</t>
        </is>
      </c>
      <c r="C434" t="inlineStr">
        <is>
          <t>Föryngringsavverkning</t>
        </is>
      </c>
      <c r="D434" s="1" t="n">
        <v>44928</v>
      </c>
      <c r="E434" s="1" t="n">
        <v>46221</v>
      </c>
      <c r="F434" t="inlineStr">
        <is>
          <t>KALMAR LÄN</t>
        </is>
      </c>
      <c r="G434" t="inlineStr">
        <is>
          <t>HULTSFRED</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59467-2024</t>
        </is>
      </c>
      <c r="B435" t="inlineStr">
        <is>
          <t>avverkningsanmälan</t>
        </is>
      </c>
      <c r="C435" t="inlineStr">
        <is>
          <t>Föryngringsavverkning</t>
        </is>
      </c>
      <c r="D435" s="1" t="n">
        <v>45638</v>
      </c>
      <c r="E435" s="1" t="n">
        <v>46221</v>
      </c>
      <c r="F435" t="inlineStr">
        <is>
          <t>KALMAR LÄN</t>
        </is>
      </c>
      <c r="G435" t="inlineStr">
        <is>
          <t>HULTSFRED</t>
        </is>
      </c>
      <c r="H435" t="inlineStr">
        <is>
          <t>Sveaskog</t>
        </is>
      </c>
      <c r="I435" t="n">
        <v>3.8</v>
      </c>
      <c r="J435" t="n">
        <v>0</v>
      </c>
      <c r="K435" t="n">
        <v>0</v>
      </c>
      <c r="L435" t="n">
        <v>0</v>
      </c>
      <c r="M435" t="n">
        <v>0</v>
      </c>
      <c r="N435" t="n">
        <v>0</v>
      </c>
      <c r="O435" t="n">
        <v>0</v>
      </c>
      <c r="P435" t="n">
        <v>0</v>
      </c>
      <c r="Q435" t="n">
        <v>0</v>
      </c>
      <c r="R435" t="n">
        <v>0</v>
      </c>
      <c r="S435" t="n">
        <v>0</v>
      </c>
      <c r="T435" t="n">
        <v>0</v>
      </c>
      <c r="U435" s="2" t="inlineStr"/>
    </row>
    <row r="436" ht="15" customHeight="1">
      <c r="A436" t="inlineStr">
        <is>
          <t>A 25878-2024</t>
        </is>
      </c>
      <c r="B436" t="inlineStr">
        <is>
          <t>avverkningsanmälan</t>
        </is>
      </c>
      <c r="C436" t="inlineStr">
        <is>
          <t>Föryngringsavverkning</t>
        </is>
      </c>
      <c r="D436" s="1" t="n">
        <v>45467</v>
      </c>
      <c r="E436" s="1" t="n">
        <v>46221</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13862-2024</t>
        </is>
      </c>
      <c r="B437" t="inlineStr">
        <is>
          <t>avverkningsanmälan</t>
        </is>
      </c>
      <c r="C437" t="inlineStr">
        <is>
          <t>Föryngringsavverkning</t>
        </is>
      </c>
      <c r="D437" s="1" t="n">
        <v>45390</v>
      </c>
      <c r="E437" s="1" t="n">
        <v>46221</v>
      </c>
      <c r="F437" t="inlineStr">
        <is>
          <t>KALMAR LÄN</t>
        </is>
      </c>
      <c r="G437" t="inlineStr">
        <is>
          <t>HULTSFRED</t>
        </is>
      </c>
      <c r="I437" t="n">
        <v>5.3</v>
      </c>
      <c r="J437" t="n">
        <v>0</v>
      </c>
      <c r="K437" t="n">
        <v>0</v>
      </c>
      <c r="L437" t="n">
        <v>0</v>
      </c>
      <c r="M437" t="n">
        <v>0</v>
      </c>
      <c r="N437" t="n">
        <v>0</v>
      </c>
      <c r="O437" t="n">
        <v>0</v>
      </c>
      <c r="P437" t="n">
        <v>0</v>
      </c>
      <c r="Q437" t="n">
        <v>0</v>
      </c>
      <c r="R437" t="n">
        <v>0</v>
      </c>
      <c r="S437" t="n">
        <v>0</v>
      </c>
      <c r="T437" t="n">
        <v>0</v>
      </c>
      <c r="U437" s="2" t="inlineStr"/>
    </row>
    <row r="438" ht="15" customHeight="1">
      <c r="A438" t="inlineStr">
        <is>
          <t>A 27351-2023</t>
        </is>
      </c>
      <c r="B438" t="inlineStr">
        <is>
          <t>avverkningsanmälan</t>
        </is>
      </c>
      <c r="C438" t="inlineStr">
        <is>
          <t>Föryngringsavverkning</t>
        </is>
      </c>
      <c r="D438" s="1" t="n">
        <v>45096</v>
      </c>
      <c r="E438" s="1" t="n">
        <v>46221</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62043-2025</t>
        </is>
      </c>
      <c r="B439" t="inlineStr">
        <is>
          <t>avverkningsanmälan</t>
        </is>
      </c>
      <c r="C439" t="inlineStr">
        <is>
          <t>Föryngringsavverkning</t>
        </is>
      </c>
      <c r="D439" s="1" t="n">
        <v>46005</v>
      </c>
      <c r="E439" s="1" t="n">
        <v>46221</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45236-2021</t>
        </is>
      </c>
      <c r="B440" t="inlineStr">
        <is>
          <t>avverkningsanmälan</t>
        </is>
      </c>
      <c r="C440" t="inlineStr">
        <is>
          <t>Föryngringsavverkning</t>
        </is>
      </c>
      <c r="D440" s="1" t="n">
        <v>44439</v>
      </c>
      <c r="E440" s="1" t="n">
        <v>46221</v>
      </c>
      <c r="F440" t="inlineStr">
        <is>
          <t>KALMAR LÄN</t>
        </is>
      </c>
      <c r="G440" t="inlineStr">
        <is>
          <t>HULTSFRED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14726-2025</t>
        </is>
      </c>
      <c r="B441" t="inlineStr">
        <is>
          <t>avverkningsanmälan</t>
        </is>
      </c>
      <c r="C441" t="inlineStr">
        <is>
          <t>Föryngringsavverkning</t>
        </is>
      </c>
      <c r="D441" s="1" t="n">
        <v>45742</v>
      </c>
      <c r="E441" s="1" t="n">
        <v>46221</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63153-2025</t>
        </is>
      </c>
      <c r="B442" t="inlineStr">
        <is>
          <t>avverkningsanmälan</t>
        </is>
      </c>
      <c r="C442" t="inlineStr">
        <is>
          <t>Föryngringsavverkning</t>
        </is>
      </c>
      <c r="D442" s="1" t="n">
        <v>46010</v>
      </c>
      <c r="E442" s="1" t="n">
        <v>46221</v>
      </c>
      <c r="F442" t="inlineStr">
        <is>
          <t>KALMAR LÄN</t>
        </is>
      </c>
      <c r="G442" t="inlineStr">
        <is>
          <t>HULTSFRED</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57479-2022</t>
        </is>
      </c>
      <c r="B443" t="inlineStr">
        <is>
          <t>avverkningsanmälan</t>
        </is>
      </c>
      <c r="C443" t="inlineStr">
        <is>
          <t>Föryngringsavverkning</t>
        </is>
      </c>
      <c r="D443" s="1" t="n">
        <v>44896</v>
      </c>
      <c r="E443" s="1" t="n">
        <v>46221</v>
      </c>
      <c r="F443" t="inlineStr">
        <is>
          <t>KALMAR LÄN</t>
        </is>
      </c>
      <c r="G443" t="inlineStr">
        <is>
          <t>HULTSFRED</t>
        </is>
      </c>
      <c r="I443" t="n">
        <v>6</v>
      </c>
      <c r="J443" t="n">
        <v>0</v>
      </c>
      <c r="K443" t="n">
        <v>0</v>
      </c>
      <c r="L443" t="n">
        <v>0</v>
      </c>
      <c r="M443" t="n">
        <v>0</v>
      </c>
      <c r="N443" t="n">
        <v>0</v>
      </c>
      <c r="O443" t="n">
        <v>0</v>
      </c>
      <c r="P443" t="n">
        <v>0</v>
      </c>
      <c r="Q443" t="n">
        <v>0</v>
      </c>
      <c r="R443" t="n">
        <v>0</v>
      </c>
      <c r="S443" t="n">
        <v>0</v>
      </c>
      <c r="T443" t="n">
        <v>0</v>
      </c>
      <c r="U443" s="2" t="inlineStr"/>
    </row>
    <row r="444" ht="15" customHeight="1">
      <c r="A444" t="inlineStr">
        <is>
          <t>A 40554-2023</t>
        </is>
      </c>
      <c r="B444" t="inlineStr">
        <is>
          <t>avverkningsanmälan</t>
        </is>
      </c>
      <c r="C444" t="inlineStr">
        <is>
          <t>Föryngringsavverkning</t>
        </is>
      </c>
      <c r="D444" s="1" t="n">
        <v>45170</v>
      </c>
      <c r="E444" s="1" t="n">
        <v>46221</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15153-2026</t>
        </is>
      </c>
      <c r="B445" t="inlineStr">
        <is>
          <t>avverkningsanmälan</t>
        </is>
      </c>
      <c r="C445" t="inlineStr">
        <is>
          <t>Föryngringsavverkning</t>
        </is>
      </c>
      <c r="D445" s="1" t="n">
        <v>46105</v>
      </c>
      <c r="E445" s="1" t="n">
        <v>46221</v>
      </c>
      <c r="F445" t="inlineStr">
        <is>
          <t>KALMAR LÄN</t>
        </is>
      </c>
      <c r="G445" t="inlineStr">
        <is>
          <t>HULTSFRED</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63935-2025</t>
        </is>
      </c>
      <c r="B446" t="inlineStr">
        <is>
          <t>avverkningsanmälan</t>
        </is>
      </c>
      <c r="C446" t="inlineStr">
        <is>
          <t>Föryngringsavverkning</t>
        </is>
      </c>
      <c r="D446" s="1" t="n">
        <v>46020</v>
      </c>
      <c r="E446" s="1" t="n">
        <v>46221</v>
      </c>
      <c r="F446" t="inlineStr">
        <is>
          <t>KALMAR LÄN</t>
        </is>
      </c>
      <c r="G446" t="inlineStr">
        <is>
          <t>HULTSFRED</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3882-2023</t>
        </is>
      </c>
      <c r="B447" t="inlineStr">
        <is>
          <t>avverkningsanmälan</t>
        </is>
      </c>
      <c r="C447" t="inlineStr">
        <is>
          <t>Föryngringsavverkning</t>
        </is>
      </c>
      <c r="D447" s="1" t="n">
        <v>44951</v>
      </c>
      <c r="E447" s="1" t="n">
        <v>46221</v>
      </c>
      <c r="F447" t="inlineStr">
        <is>
          <t>KALMAR LÄN</t>
        </is>
      </c>
      <c r="G447" t="inlineStr">
        <is>
          <t>HULTSFRED</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1560-2026</t>
        </is>
      </c>
      <c r="B448" t="inlineStr">
        <is>
          <t>avverkningsanmälan</t>
        </is>
      </c>
      <c r="C448" t="inlineStr">
        <is>
          <t>Föryngringsavverkning</t>
        </is>
      </c>
      <c r="D448" s="1" t="n">
        <v>46034</v>
      </c>
      <c r="E448" s="1" t="n">
        <v>46221</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6510-2024</t>
        </is>
      </c>
      <c r="B449" t="inlineStr">
        <is>
          <t>avverkningsanmälan</t>
        </is>
      </c>
      <c r="C449" t="inlineStr">
        <is>
          <t>Föryngringsavverkning</t>
        </is>
      </c>
      <c r="D449" s="1" t="n">
        <v>45340</v>
      </c>
      <c r="E449" s="1" t="n">
        <v>46221</v>
      </c>
      <c r="F449" t="inlineStr">
        <is>
          <t>KALMAR LÄN</t>
        </is>
      </c>
      <c r="G449" t="inlineStr">
        <is>
          <t>HULTSFRED</t>
        </is>
      </c>
      <c r="I449" t="n">
        <v>4.4</v>
      </c>
      <c r="J449" t="n">
        <v>0</v>
      </c>
      <c r="K449" t="n">
        <v>0</v>
      </c>
      <c r="L449" t="n">
        <v>0</v>
      </c>
      <c r="M449" t="n">
        <v>0</v>
      </c>
      <c r="N449" t="n">
        <v>0</v>
      </c>
      <c r="O449" t="n">
        <v>0</v>
      </c>
      <c r="P449" t="n">
        <v>0</v>
      </c>
      <c r="Q449" t="n">
        <v>0</v>
      </c>
      <c r="R449" t="n">
        <v>0</v>
      </c>
      <c r="S449" t="n">
        <v>0</v>
      </c>
      <c r="T449" t="n">
        <v>0</v>
      </c>
      <c r="U449" s="2" t="inlineStr"/>
    </row>
    <row r="450" ht="15" customHeight="1">
      <c r="A450" t="inlineStr">
        <is>
          <t>A 1507-2026</t>
        </is>
      </c>
      <c r="B450" t="inlineStr">
        <is>
          <t>avverkningsanmälan</t>
        </is>
      </c>
      <c r="C450" t="inlineStr">
        <is>
          <t>Föryngringsavverkning</t>
        </is>
      </c>
      <c r="D450" s="1" t="n">
        <v>46034</v>
      </c>
      <c r="E450" s="1" t="n">
        <v>46221</v>
      </c>
      <c r="F450" t="inlineStr">
        <is>
          <t>KALMAR LÄN</t>
        </is>
      </c>
      <c r="G450" t="inlineStr">
        <is>
          <t>HULTSFRED</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66722-2021</t>
        </is>
      </c>
      <c r="B451" t="inlineStr">
        <is>
          <t>avverkningsanmälan</t>
        </is>
      </c>
      <c r="C451" t="inlineStr">
        <is>
          <t>Föryngringsavverkning</t>
        </is>
      </c>
      <c r="D451" s="1" t="n">
        <v>44519</v>
      </c>
      <c r="E451" s="1" t="n">
        <v>46221</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36395-2023</t>
        </is>
      </c>
      <c r="B452" t="inlineStr">
        <is>
          <t>avverkningsanmälan</t>
        </is>
      </c>
      <c r="C452" t="inlineStr">
        <is>
          <t>Föryngringsavverkning</t>
        </is>
      </c>
      <c r="D452" s="1" t="n">
        <v>45152</v>
      </c>
      <c r="E452" s="1" t="n">
        <v>46221</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2265-2026</t>
        </is>
      </c>
      <c r="B453" t="inlineStr">
        <is>
          <t>avverkningsanmälan</t>
        </is>
      </c>
      <c r="C453" t="inlineStr">
        <is>
          <t>Föryngringsavverkning</t>
        </is>
      </c>
      <c r="D453" s="1" t="n">
        <v>46034</v>
      </c>
      <c r="E453" s="1" t="n">
        <v>46221</v>
      </c>
      <c r="F453" t="inlineStr">
        <is>
          <t>KALMAR LÄN</t>
        </is>
      </c>
      <c r="G453" t="inlineStr">
        <is>
          <t>HULTSFRED</t>
        </is>
      </c>
      <c r="I453" t="n">
        <v>7.3</v>
      </c>
      <c r="J453" t="n">
        <v>0</v>
      </c>
      <c r="K453" t="n">
        <v>0</v>
      </c>
      <c r="L453" t="n">
        <v>0</v>
      </c>
      <c r="M453" t="n">
        <v>0</v>
      </c>
      <c r="N453" t="n">
        <v>0</v>
      </c>
      <c r="O453" t="n">
        <v>0</v>
      </c>
      <c r="P453" t="n">
        <v>0</v>
      </c>
      <c r="Q453" t="n">
        <v>0</v>
      </c>
      <c r="R453" t="n">
        <v>0</v>
      </c>
      <c r="S453" t="n">
        <v>0</v>
      </c>
      <c r="T453" t="n">
        <v>0</v>
      </c>
      <c r="U453" s="2" t="inlineStr"/>
    </row>
    <row r="454" ht="15" customHeight="1">
      <c r="A454" t="inlineStr">
        <is>
          <t>A 1423-2026</t>
        </is>
      </c>
      <c r="B454" t="inlineStr">
        <is>
          <t>avverkningsanmälan</t>
        </is>
      </c>
      <c r="C454" t="inlineStr">
        <is>
          <t>Föryngringsavverkning</t>
        </is>
      </c>
      <c r="D454" s="1" t="n">
        <v>46031</v>
      </c>
      <c r="E454" s="1" t="n">
        <v>46221</v>
      </c>
      <c r="F454" t="inlineStr">
        <is>
          <t>KALMAR LÄN</t>
        </is>
      </c>
      <c r="G454" t="inlineStr">
        <is>
          <t>HULTSFRED</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32646-2023</t>
        </is>
      </c>
      <c r="B455" t="inlineStr">
        <is>
          <t>avverkningsanmälan</t>
        </is>
      </c>
      <c r="C455" t="inlineStr">
        <is>
          <t>Föryngringsavverkning</t>
        </is>
      </c>
      <c r="D455" s="1" t="n">
        <v>45121</v>
      </c>
      <c r="E455" s="1" t="n">
        <v>46221</v>
      </c>
      <c r="F455" t="inlineStr">
        <is>
          <t>KALMAR LÄN</t>
        </is>
      </c>
      <c r="G455" t="inlineStr">
        <is>
          <t>HULTSFRED</t>
        </is>
      </c>
      <c r="I455" t="n">
        <v>5.1</v>
      </c>
      <c r="J455" t="n">
        <v>0</v>
      </c>
      <c r="K455" t="n">
        <v>0</v>
      </c>
      <c r="L455" t="n">
        <v>0</v>
      </c>
      <c r="M455" t="n">
        <v>0</v>
      </c>
      <c r="N455" t="n">
        <v>0</v>
      </c>
      <c r="O455" t="n">
        <v>0</v>
      </c>
      <c r="P455" t="n">
        <v>0</v>
      </c>
      <c r="Q455" t="n">
        <v>0</v>
      </c>
      <c r="R455" t="n">
        <v>0</v>
      </c>
      <c r="S455" t="n">
        <v>0</v>
      </c>
      <c r="T455" t="n">
        <v>0</v>
      </c>
      <c r="U455" s="2" t="inlineStr"/>
    </row>
    <row r="456" ht="15" customHeight="1">
      <c r="A456" t="inlineStr">
        <is>
          <t>A 2267-2024</t>
        </is>
      </c>
      <c r="B456" t="inlineStr">
        <is>
          <t>avverkningsanmälan</t>
        </is>
      </c>
      <c r="C456" t="inlineStr">
        <is>
          <t>Föryngringsavverkning</t>
        </is>
      </c>
      <c r="D456" s="1" t="n">
        <v>45310</v>
      </c>
      <c r="E456" s="1" t="n">
        <v>46221</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1499-2026</t>
        </is>
      </c>
      <c r="B457" t="inlineStr">
        <is>
          <t>avverkningsanmälan</t>
        </is>
      </c>
      <c r="C457" t="inlineStr">
        <is>
          <t>Föryngringsavverkning</t>
        </is>
      </c>
      <c r="D457" s="1" t="n">
        <v>46034</v>
      </c>
      <c r="E457" s="1" t="n">
        <v>46221</v>
      </c>
      <c r="F457" t="inlineStr">
        <is>
          <t>KALMAR LÄN</t>
        </is>
      </c>
      <c r="G457" t="inlineStr">
        <is>
          <t>HULTSFRED</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60361-2023</t>
        </is>
      </c>
      <c r="B458" t="inlineStr">
        <is>
          <t>avverkningsanmälan</t>
        </is>
      </c>
      <c r="C458" t="inlineStr">
        <is>
          <t>Föryngringsavverkning</t>
        </is>
      </c>
      <c r="D458" s="1" t="n">
        <v>45259</v>
      </c>
      <c r="E458" s="1" t="n">
        <v>46221</v>
      </c>
      <c r="F458" t="inlineStr">
        <is>
          <t>KALMAR LÄN</t>
        </is>
      </c>
      <c r="G458" t="inlineStr">
        <is>
          <t>HULTSFRED</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13786-2024</t>
        </is>
      </c>
      <c r="B459" t="inlineStr">
        <is>
          <t>avverkningsanmälan</t>
        </is>
      </c>
      <c r="C459" t="inlineStr">
        <is>
          <t>Föryngringsavverkning</t>
        </is>
      </c>
      <c r="D459" s="1" t="n">
        <v>45391</v>
      </c>
      <c r="E459" s="1" t="n">
        <v>46221</v>
      </c>
      <c r="F459" t="inlineStr">
        <is>
          <t>KALMAR LÄN</t>
        </is>
      </c>
      <c r="G459" t="inlineStr">
        <is>
          <t>HULTSFRED</t>
        </is>
      </c>
      <c r="I459" t="n">
        <v>3</v>
      </c>
      <c r="J459" t="n">
        <v>0</v>
      </c>
      <c r="K459" t="n">
        <v>0</v>
      </c>
      <c r="L459" t="n">
        <v>0</v>
      </c>
      <c r="M459" t="n">
        <v>0</v>
      </c>
      <c r="N459" t="n">
        <v>0</v>
      </c>
      <c r="O459" t="n">
        <v>0</v>
      </c>
      <c r="P459" t="n">
        <v>0</v>
      </c>
      <c r="Q459" t="n">
        <v>0</v>
      </c>
      <c r="R459" t="n">
        <v>0</v>
      </c>
      <c r="S459" t="n">
        <v>0</v>
      </c>
      <c r="T459" t="n">
        <v>0</v>
      </c>
      <c r="U459" s="2" t="inlineStr"/>
    </row>
    <row r="460" ht="15" customHeight="1">
      <c r="A460" t="inlineStr">
        <is>
          <t>A 50884-2023</t>
        </is>
      </c>
      <c r="B460" t="inlineStr">
        <is>
          <t>avverkningsanmälan</t>
        </is>
      </c>
      <c r="C460" t="inlineStr">
        <is>
          <t>Föryngringsavverkning</t>
        </is>
      </c>
      <c r="D460" s="1" t="n">
        <v>45218</v>
      </c>
      <c r="E460" s="1" t="n">
        <v>46221</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1852-2026</t>
        </is>
      </c>
      <c r="B461" t="inlineStr">
        <is>
          <t>avverkningsanmälan</t>
        </is>
      </c>
      <c r="C461" t="inlineStr">
        <is>
          <t>Föryngringsavverkning</t>
        </is>
      </c>
      <c r="D461" s="1" t="n">
        <v>46035</v>
      </c>
      <c r="E461" s="1" t="n">
        <v>46221</v>
      </c>
      <c r="F461" t="inlineStr">
        <is>
          <t>KALMAR LÄN</t>
        </is>
      </c>
      <c r="G461" t="inlineStr">
        <is>
          <t>HULTSFRED</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45658-2023</t>
        </is>
      </c>
      <c r="B462" t="inlineStr">
        <is>
          <t>avverkningsanmälan</t>
        </is>
      </c>
      <c r="C462" t="inlineStr">
        <is>
          <t>Föryngringsavverkning</t>
        </is>
      </c>
      <c r="D462" s="1" t="n">
        <v>45194</v>
      </c>
      <c r="E462" s="1" t="n">
        <v>46221</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42961-2023</t>
        </is>
      </c>
      <c r="B463" t="inlineStr">
        <is>
          <t>avverkningsanmälan</t>
        </is>
      </c>
      <c r="C463" t="inlineStr">
        <is>
          <t>Föryngringsavverkning</t>
        </is>
      </c>
      <c r="D463" s="1" t="n">
        <v>45182</v>
      </c>
      <c r="E463" s="1" t="n">
        <v>46221</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16281-2026</t>
        </is>
      </c>
      <c r="B464" t="inlineStr">
        <is>
          <t>avverkningsanmälan</t>
        </is>
      </c>
      <c r="C464" t="inlineStr">
        <is>
          <t>Föryngringsavverkning</t>
        </is>
      </c>
      <c r="D464" s="1" t="n">
        <v>46111</v>
      </c>
      <c r="E464" s="1" t="n">
        <v>46221</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11710-2023</t>
        </is>
      </c>
      <c r="B465" t="inlineStr">
        <is>
          <t>avverkningsanmälan</t>
        </is>
      </c>
      <c r="C465" t="inlineStr">
        <is>
          <t>Föryngringsavverkning</t>
        </is>
      </c>
      <c r="D465" s="1" t="n">
        <v>44994</v>
      </c>
      <c r="E465" s="1" t="n">
        <v>46221</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68991-2021</t>
        </is>
      </c>
      <c r="B466" t="inlineStr">
        <is>
          <t>avverkningsanmälan</t>
        </is>
      </c>
      <c r="C466" t="inlineStr">
        <is>
          <t>Föryngringsavverkning</t>
        </is>
      </c>
      <c r="D466" s="1" t="n">
        <v>44529</v>
      </c>
      <c r="E466" s="1" t="n">
        <v>46221</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28910-2023</t>
        </is>
      </c>
      <c r="B467" t="inlineStr">
        <is>
          <t>avverkningsanmälan</t>
        </is>
      </c>
      <c r="C467" t="inlineStr">
        <is>
          <t>Föryngringsavverkning</t>
        </is>
      </c>
      <c r="D467" s="1" t="n">
        <v>45104</v>
      </c>
      <c r="E467" s="1" t="n">
        <v>46221</v>
      </c>
      <c r="F467" t="inlineStr">
        <is>
          <t>KALMAR LÄN</t>
        </is>
      </c>
      <c r="G467" t="inlineStr">
        <is>
          <t>HULTSFRED</t>
        </is>
      </c>
      <c r="I467" t="n">
        <v>4.4</v>
      </c>
      <c r="J467" t="n">
        <v>0</v>
      </c>
      <c r="K467" t="n">
        <v>0</v>
      </c>
      <c r="L467" t="n">
        <v>0</v>
      </c>
      <c r="M467" t="n">
        <v>0</v>
      </c>
      <c r="N467" t="n">
        <v>0</v>
      </c>
      <c r="O467" t="n">
        <v>0</v>
      </c>
      <c r="P467" t="n">
        <v>0</v>
      </c>
      <c r="Q467" t="n">
        <v>0</v>
      </c>
      <c r="R467" t="n">
        <v>0</v>
      </c>
      <c r="S467" t="n">
        <v>0</v>
      </c>
      <c r="T467" t="n">
        <v>0</v>
      </c>
      <c r="U467" s="2" t="inlineStr"/>
    </row>
    <row r="468" ht="15" customHeight="1">
      <c r="A468" t="inlineStr">
        <is>
          <t>A 16287-2026</t>
        </is>
      </c>
      <c r="B468" t="inlineStr">
        <is>
          <t>avverkningsanmälan</t>
        </is>
      </c>
      <c r="C468" t="inlineStr">
        <is>
          <t>Föryngringsavverkning</t>
        </is>
      </c>
      <c r="D468" s="1" t="n">
        <v>46111</v>
      </c>
      <c r="E468" s="1" t="n">
        <v>46221</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16466-2026</t>
        </is>
      </c>
      <c r="B469" t="inlineStr">
        <is>
          <t>avverkningsanmälan</t>
        </is>
      </c>
      <c r="C469" t="inlineStr">
        <is>
          <t>Föryngringsavverkning</t>
        </is>
      </c>
      <c r="D469" s="1" t="n">
        <v>46112</v>
      </c>
      <c r="E469" s="1" t="n">
        <v>46221</v>
      </c>
      <c r="F469" t="inlineStr">
        <is>
          <t>KALMAR LÄN</t>
        </is>
      </c>
      <c r="G469" t="inlineStr">
        <is>
          <t>HULTSFRED</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55990-2022</t>
        </is>
      </c>
      <c r="B470" t="inlineStr">
        <is>
          <t>avverkningsanmälan</t>
        </is>
      </c>
      <c r="C470" t="inlineStr">
        <is>
          <t>Föryngringsavverkning</t>
        </is>
      </c>
      <c r="D470" s="1" t="n">
        <v>44889</v>
      </c>
      <c r="E470" s="1" t="n">
        <v>46221</v>
      </c>
      <c r="F470" t="inlineStr">
        <is>
          <t>KALMAR LÄN</t>
        </is>
      </c>
      <c r="G470" t="inlineStr">
        <is>
          <t>HULTSFRED</t>
        </is>
      </c>
      <c r="I470" t="n">
        <v>2.6</v>
      </c>
      <c r="J470" t="n">
        <v>0</v>
      </c>
      <c r="K470" t="n">
        <v>0</v>
      </c>
      <c r="L470" t="n">
        <v>0</v>
      </c>
      <c r="M470" t="n">
        <v>0</v>
      </c>
      <c r="N470" t="n">
        <v>0</v>
      </c>
      <c r="O470" t="n">
        <v>0</v>
      </c>
      <c r="P470" t="n">
        <v>0</v>
      </c>
      <c r="Q470" t="n">
        <v>0</v>
      </c>
      <c r="R470" t="n">
        <v>0</v>
      </c>
      <c r="S470" t="n">
        <v>0</v>
      </c>
      <c r="T470" t="n">
        <v>0</v>
      </c>
      <c r="U470" s="2" t="inlineStr"/>
    </row>
    <row r="471" ht="15" customHeight="1">
      <c r="A471" t="inlineStr">
        <is>
          <t>A 68824-2021</t>
        </is>
      </c>
      <c r="B471" t="inlineStr">
        <is>
          <t>avverkningsanmälan</t>
        </is>
      </c>
      <c r="C471" t="inlineStr">
        <is>
          <t>Föryngringsavverkning</t>
        </is>
      </c>
      <c r="D471" s="1" t="n">
        <v>44530</v>
      </c>
      <c r="E471" s="1" t="n">
        <v>46221</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54712-2021</t>
        </is>
      </c>
      <c r="B472" t="inlineStr">
        <is>
          <t>avverkningsanmälan</t>
        </is>
      </c>
      <c r="C472" t="inlineStr">
        <is>
          <t>Föryngringsavverkning</t>
        </is>
      </c>
      <c r="D472" s="1" t="n">
        <v>44473</v>
      </c>
      <c r="E472" s="1" t="n">
        <v>46221</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48956-2024</t>
        </is>
      </c>
      <c r="B473" t="inlineStr">
        <is>
          <t>avverkningsanmälan</t>
        </is>
      </c>
      <c r="C473" t="inlineStr">
        <is>
          <t>Föryngringsavverkning</t>
        </is>
      </c>
      <c r="D473" s="1" t="n">
        <v>45594</v>
      </c>
      <c r="E473" s="1" t="n">
        <v>46221</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3403-2024</t>
        </is>
      </c>
      <c r="B474" t="inlineStr">
        <is>
          <t>avverkningsanmälan</t>
        </is>
      </c>
      <c r="C474" t="inlineStr">
        <is>
          <t>Föryngringsavverkning</t>
        </is>
      </c>
      <c r="D474" s="1" t="n">
        <v>45318</v>
      </c>
      <c r="E474" s="1" t="n">
        <v>46221</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72708-2021</t>
        </is>
      </c>
      <c r="B475" t="inlineStr">
        <is>
          <t>avverkningsanmälan</t>
        </is>
      </c>
      <c r="C475" t="inlineStr">
        <is>
          <t>Föryngringsavverkning</t>
        </is>
      </c>
      <c r="D475" s="1" t="n">
        <v>44546</v>
      </c>
      <c r="E475" s="1" t="n">
        <v>46221</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37994-2023</t>
        </is>
      </c>
      <c r="B476" t="inlineStr">
        <is>
          <t>avverkningsanmälan</t>
        </is>
      </c>
      <c r="C476" t="inlineStr">
        <is>
          <t>Föryngringsavverkning</t>
        </is>
      </c>
      <c r="D476" s="1" t="n">
        <v>45160</v>
      </c>
      <c r="E476" s="1" t="n">
        <v>46221</v>
      </c>
      <c r="F476" t="inlineStr">
        <is>
          <t>KALMAR LÄN</t>
        </is>
      </c>
      <c r="G476" t="inlineStr">
        <is>
          <t>HULTSFRED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28644-2023</t>
        </is>
      </c>
      <c r="B477" t="inlineStr">
        <is>
          <t>avverkningsanmälan</t>
        </is>
      </c>
      <c r="C477" t="inlineStr">
        <is>
          <t>Föryngringsavverkning</t>
        </is>
      </c>
      <c r="D477" s="1" t="n">
        <v>45103</v>
      </c>
      <c r="E477" s="1" t="n">
        <v>46221</v>
      </c>
      <c r="F477" t="inlineStr">
        <is>
          <t>KALMAR LÄN</t>
        </is>
      </c>
      <c r="G477" t="inlineStr">
        <is>
          <t>HULTSFRED</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44257-2024</t>
        </is>
      </c>
      <c r="B478" t="inlineStr">
        <is>
          <t>avverkningsanmälan</t>
        </is>
      </c>
      <c r="C478" t="inlineStr">
        <is>
          <t>Föryngringsavverkning</t>
        </is>
      </c>
      <c r="D478" s="1" t="n">
        <v>45573</v>
      </c>
      <c r="E478" s="1" t="n">
        <v>46221</v>
      </c>
      <c r="F478" t="inlineStr">
        <is>
          <t>KALMAR LÄN</t>
        </is>
      </c>
      <c r="G478" t="inlineStr">
        <is>
          <t>HULTSFRED</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58868-2023</t>
        </is>
      </c>
      <c r="B479" t="inlineStr">
        <is>
          <t>avverkningsanmälan</t>
        </is>
      </c>
      <c r="C479" t="inlineStr">
        <is>
          <t>Föryngringsavverkning</t>
        </is>
      </c>
      <c r="D479" s="1" t="n">
        <v>45252</v>
      </c>
      <c r="E479" s="1" t="n">
        <v>46221</v>
      </c>
      <c r="F479" t="inlineStr">
        <is>
          <t>KALMAR LÄN</t>
        </is>
      </c>
      <c r="G479" t="inlineStr">
        <is>
          <t>HULTSFRED</t>
        </is>
      </c>
      <c r="H479" t="inlineStr">
        <is>
          <t>Kyrkan</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42747-2024</t>
        </is>
      </c>
      <c r="B480" t="inlineStr">
        <is>
          <t>avverkningsanmälan</t>
        </is>
      </c>
      <c r="C480" t="inlineStr">
        <is>
          <t>Föryngringsavverkning</t>
        </is>
      </c>
      <c r="D480" s="1" t="n">
        <v>45566</v>
      </c>
      <c r="E480" s="1" t="n">
        <v>46221</v>
      </c>
      <c r="F480" t="inlineStr">
        <is>
          <t>KALMAR LÄN</t>
        </is>
      </c>
      <c r="G480" t="inlineStr">
        <is>
          <t>HULTSFRED</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42749-2024</t>
        </is>
      </c>
      <c r="B481" t="inlineStr">
        <is>
          <t>avverkningsanmälan</t>
        </is>
      </c>
      <c r="C481" t="inlineStr">
        <is>
          <t>Föryngringsavverkning</t>
        </is>
      </c>
      <c r="D481" s="1" t="n">
        <v>45566</v>
      </c>
      <c r="E481" s="1" t="n">
        <v>46221</v>
      </c>
      <c r="F481" t="inlineStr">
        <is>
          <t>KALMAR LÄN</t>
        </is>
      </c>
      <c r="G481" t="inlineStr">
        <is>
          <t>HULTSFRED</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46476-2024</t>
        </is>
      </c>
      <c r="B482" t="inlineStr">
        <is>
          <t>avverkningsanmälan</t>
        </is>
      </c>
      <c r="C482" t="inlineStr">
        <is>
          <t>Avverkning för annat ändamål</t>
        </is>
      </c>
      <c r="D482" s="1" t="n">
        <v>45582</v>
      </c>
      <c r="E482" s="1" t="n">
        <v>46221</v>
      </c>
      <c r="F482" t="inlineStr">
        <is>
          <t>KALMAR LÄN</t>
        </is>
      </c>
      <c r="G482" t="inlineStr">
        <is>
          <t>HULTSFRED</t>
        </is>
      </c>
      <c r="H482" t="inlineStr">
        <is>
          <t>Sveaskog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6649-2023</t>
        </is>
      </c>
      <c r="B483" t="inlineStr">
        <is>
          <t>avverkningsanmälan</t>
        </is>
      </c>
      <c r="C483" t="inlineStr">
        <is>
          <t>Avverkning för annat ändamål</t>
        </is>
      </c>
      <c r="D483" s="1" t="n">
        <v>44966</v>
      </c>
      <c r="E483" s="1" t="n">
        <v>46221</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15445-2023</t>
        </is>
      </c>
      <c r="B484" t="inlineStr">
        <is>
          <t>avverkningsanmälan</t>
        </is>
      </c>
      <c r="C484" t="inlineStr">
        <is>
          <t>Föryngringsavverkning</t>
        </is>
      </c>
      <c r="D484" s="1" t="n">
        <v>45016</v>
      </c>
      <c r="E484" s="1" t="n">
        <v>46221</v>
      </c>
      <c r="F484" t="inlineStr">
        <is>
          <t>KALMAR LÄN</t>
        </is>
      </c>
      <c r="G484" t="inlineStr">
        <is>
          <t>HULTSFRED</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11005-2025</t>
        </is>
      </c>
      <c r="B485" t="inlineStr">
        <is>
          <t>avverkningsanmälan</t>
        </is>
      </c>
      <c r="C485" t="inlineStr">
        <is>
          <t>Föryngringsavverkning</t>
        </is>
      </c>
      <c r="D485" s="1" t="n">
        <v>45723</v>
      </c>
      <c r="E485" s="1" t="n">
        <v>46221</v>
      </c>
      <c r="F485" t="inlineStr">
        <is>
          <t>KALMAR LÄN</t>
        </is>
      </c>
      <c r="G485" t="inlineStr">
        <is>
          <t>HULTSFRED</t>
        </is>
      </c>
      <c r="H485" t="inlineStr">
        <is>
          <t>Sveaskog</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9944-2025</t>
        </is>
      </c>
      <c r="B486" t="inlineStr">
        <is>
          <t>avverkningsanmälan</t>
        </is>
      </c>
      <c r="C486" t="inlineStr">
        <is>
          <t>Föryngringsavverkning</t>
        </is>
      </c>
      <c r="D486" s="1" t="n">
        <v>45719</v>
      </c>
      <c r="E486" s="1" t="n">
        <v>46221</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20969-2024</t>
        </is>
      </c>
      <c r="B487" t="inlineStr">
        <is>
          <t>avverkningsanmälan</t>
        </is>
      </c>
      <c r="C487" t="inlineStr">
        <is>
          <t>Föryngringsavverkning</t>
        </is>
      </c>
      <c r="D487" s="1" t="n">
        <v>45439</v>
      </c>
      <c r="E487" s="1" t="n">
        <v>46221</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68803-2021</t>
        </is>
      </c>
      <c r="B488" t="inlineStr">
        <is>
          <t>avverkningsanmälan</t>
        </is>
      </c>
      <c r="C488" t="inlineStr">
        <is>
          <t>Föryngringsavverkning</t>
        </is>
      </c>
      <c r="D488" s="1" t="n">
        <v>44530</v>
      </c>
      <c r="E488" s="1" t="n">
        <v>46221</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44681-2023</t>
        </is>
      </c>
      <c r="B489" t="inlineStr">
        <is>
          <t>avverkningsanmälan</t>
        </is>
      </c>
      <c r="C489" t="inlineStr">
        <is>
          <t>Föryngringsavverkning</t>
        </is>
      </c>
      <c r="D489" s="1" t="n">
        <v>45189</v>
      </c>
      <c r="E489" s="1" t="n">
        <v>46221</v>
      </c>
      <c r="F489" t="inlineStr">
        <is>
          <t>KALMAR LÄN</t>
        </is>
      </c>
      <c r="G489" t="inlineStr">
        <is>
          <t>HULTSFRED</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8198-2022</t>
        </is>
      </c>
      <c r="B490" t="inlineStr">
        <is>
          <t>avverkningsanmälan</t>
        </is>
      </c>
      <c r="C490" t="inlineStr">
        <is>
          <t>Föryngringsavverkning</t>
        </is>
      </c>
      <c r="D490" s="1" t="n">
        <v>44609</v>
      </c>
      <c r="E490" s="1" t="n">
        <v>46221</v>
      </c>
      <c r="F490" t="inlineStr">
        <is>
          <t>KALMAR LÄN</t>
        </is>
      </c>
      <c r="G490" t="inlineStr">
        <is>
          <t>HULTSFRED</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37281-2023</t>
        </is>
      </c>
      <c r="B491" t="inlineStr">
        <is>
          <t>avverkningsanmälan</t>
        </is>
      </c>
      <c r="C491" t="inlineStr">
        <is>
          <t>Föryngringsavverkning</t>
        </is>
      </c>
      <c r="D491" s="1" t="n">
        <v>45156</v>
      </c>
      <c r="E491" s="1" t="n">
        <v>46221</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19050-2023</t>
        </is>
      </c>
      <c r="B492" t="inlineStr">
        <is>
          <t>avverkningsanmälan</t>
        </is>
      </c>
      <c r="C492" t="inlineStr">
        <is>
          <t>Föryngringsavverkning</t>
        </is>
      </c>
      <c r="D492" s="1" t="n">
        <v>45047</v>
      </c>
      <c r="E492" s="1" t="n">
        <v>46221</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42859-2025</t>
        </is>
      </c>
      <c r="B493" t="inlineStr">
        <is>
          <t>avverkningsanmälan</t>
        </is>
      </c>
      <c r="C493" t="inlineStr">
        <is>
          <t>Föryngringsavverkning</t>
        </is>
      </c>
      <c r="D493" s="1" t="n">
        <v>45908</v>
      </c>
      <c r="E493" s="1" t="n">
        <v>46221</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33958-2025</t>
        </is>
      </c>
      <c r="B494" t="inlineStr">
        <is>
          <t>avverkningsanmälan</t>
        </is>
      </c>
      <c r="C494" t="inlineStr">
        <is>
          <t>Föryngringsavverkning</t>
        </is>
      </c>
      <c r="D494" s="1" t="n">
        <v>45842</v>
      </c>
      <c r="E494" s="1" t="n">
        <v>46221</v>
      </c>
      <c r="F494" t="inlineStr">
        <is>
          <t>KALMAR LÄN</t>
        </is>
      </c>
      <c r="G494" t="inlineStr">
        <is>
          <t>HULTSFRED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25246-2023</t>
        </is>
      </c>
      <c r="B495" t="inlineStr">
        <is>
          <t>avverkningsanmälan</t>
        </is>
      </c>
      <c r="C495" t="inlineStr">
        <is>
          <t>Föryngringsavverkning</t>
        </is>
      </c>
      <c r="D495" s="1" t="n">
        <v>45086</v>
      </c>
      <c r="E495" s="1" t="n">
        <v>46221</v>
      </c>
      <c r="F495" t="inlineStr">
        <is>
          <t>KALMAR LÄN</t>
        </is>
      </c>
      <c r="G495" t="inlineStr">
        <is>
          <t>HULTSFRED</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20052-2026</t>
        </is>
      </c>
      <c r="B496" t="inlineStr">
        <is>
          <t>avverkningsanmälan</t>
        </is>
      </c>
      <c r="C496" t="inlineStr">
        <is>
          <t>Föryngringsavverkning</t>
        </is>
      </c>
      <c r="D496" s="1" t="n">
        <v>46136</v>
      </c>
      <c r="E496" s="1" t="n">
        <v>46221</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39422-2025</t>
        </is>
      </c>
      <c r="B497" t="inlineStr">
        <is>
          <t>avverkningsanmälan</t>
        </is>
      </c>
      <c r="C497" t="inlineStr">
        <is>
          <t>Föryngringsavverkning</t>
        </is>
      </c>
      <c r="D497" s="1" t="n">
        <v>45889</v>
      </c>
      <c r="E497" s="1" t="n">
        <v>46221</v>
      </c>
      <c r="F497" t="inlineStr">
        <is>
          <t>KALMAR LÄN</t>
        </is>
      </c>
      <c r="G497" t="inlineStr">
        <is>
          <t>HULTSFRED</t>
        </is>
      </c>
      <c r="I497" t="n">
        <v>4.6</v>
      </c>
      <c r="J497" t="n">
        <v>0</v>
      </c>
      <c r="K497" t="n">
        <v>0</v>
      </c>
      <c r="L497" t="n">
        <v>0</v>
      </c>
      <c r="M497" t="n">
        <v>0</v>
      </c>
      <c r="N497" t="n">
        <v>0</v>
      </c>
      <c r="O497" t="n">
        <v>0</v>
      </c>
      <c r="P497" t="n">
        <v>0</v>
      </c>
      <c r="Q497" t="n">
        <v>0</v>
      </c>
      <c r="R497" t="n">
        <v>0</v>
      </c>
      <c r="S497" t="n">
        <v>0</v>
      </c>
      <c r="T497" t="n">
        <v>0</v>
      </c>
      <c r="U497" s="2" t="inlineStr"/>
    </row>
    <row r="498" ht="15" customHeight="1">
      <c r="A498" t="inlineStr">
        <is>
          <t>A 28575-2025</t>
        </is>
      </c>
      <c r="B498" t="inlineStr">
        <is>
          <t>avverkningsanmälan</t>
        </is>
      </c>
      <c r="C498" t="inlineStr">
        <is>
          <t>Föryngringsavverkning</t>
        </is>
      </c>
      <c r="D498" s="1" t="n">
        <v>45819</v>
      </c>
      <c r="E498" s="1" t="n">
        <v>46221</v>
      </c>
      <c r="F498" t="inlineStr">
        <is>
          <t>KALMAR LÄN</t>
        </is>
      </c>
      <c r="G498" t="inlineStr">
        <is>
          <t>HULTSFRED</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44806-2025</t>
        </is>
      </c>
      <c r="B499" t="inlineStr">
        <is>
          <t>avverkningsanmälan</t>
        </is>
      </c>
      <c r="C499" t="inlineStr">
        <is>
          <t>Föryngringsavverkning</t>
        </is>
      </c>
      <c r="D499" s="1" t="n">
        <v>45918</v>
      </c>
      <c r="E499" s="1" t="n">
        <v>46221</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49481-2025</t>
        </is>
      </c>
      <c r="B500" t="inlineStr">
        <is>
          <t>avverkningsanmälan</t>
        </is>
      </c>
      <c r="C500" t="inlineStr">
        <is>
          <t>Föryngringsavverkning</t>
        </is>
      </c>
      <c r="D500" s="1" t="n">
        <v>45939</v>
      </c>
      <c r="E500" s="1" t="n">
        <v>46221</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45831-2025</t>
        </is>
      </c>
      <c r="B501" t="inlineStr">
        <is>
          <t>avverkningsanmälan</t>
        </is>
      </c>
      <c r="C501" t="inlineStr">
        <is>
          <t>Föryngringsavverkning</t>
        </is>
      </c>
      <c r="D501" s="1" t="n">
        <v>45923</v>
      </c>
      <c r="E501" s="1" t="n">
        <v>46221</v>
      </c>
      <c r="F501" t="inlineStr">
        <is>
          <t>KALMAR LÄN</t>
        </is>
      </c>
      <c r="G501" t="inlineStr">
        <is>
          <t>HULTSFRED</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50334-2023</t>
        </is>
      </c>
      <c r="B502" t="inlineStr">
        <is>
          <t>avverkningsanmälan</t>
        </is>
      </c>
      <c r="C502" t="inlineStr">
        <is>
          <t>Föryngringsavverkning</t>
        </is>
      </c>
      <c r="D502" s="1" t="n">
        <v>45216</v>
      </c>
      <c r="E502" s="1" t="n">
        <v>46221</v>
      </c>
      <c r="F502" t="inlineStr">
        <is>
          <t>KALMAR LÄN</t>
        </is>
      </c>
      <c r="G502" t="inlineStr">
        <is>
          <t>HULTSFRED</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48320-2023</t>
        </is>
      </c>
      <c r="B503" t="inlineStr">
        <is>
          <t>avverkningsanmälan</t>
        </is>
      </c>
      <c r="C503" t="inlineStr">
        <is>
          <t>Föryngringsavverkning</t>
        </is>
      </c>
      <c r="D503" s="1" t="n">
        <v>45205</v>
      </c>
      <c r="E503" s="1" t="n">
        <v>46221</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3758-2025</t>
        </is>
      </c>
      <c r="B504" t="inlineStr">
        <is>
          <t>avverkningsanmälan</t>
        </is>
      </c>
      <c r="C504" t="inlineStr">
        <is>
          <t>Föryngringsavverkning</t>
        </is>
      </c>
      <c r="D504" s="1" t="n">
        <v>45681</v>
      </c>
      <c r="E504" s="1" t="n">
        <v>46221</v>
      </c>
      <c r="F504" t="inlineStr">
        <is>
          <t>KALMAR LÄN</t>
        </is>
      </c>
      <c r="G504" t="inlineStr">
        <is>
          <t>HULTSFRED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62717-2025</t>
        </is>
      </c>
      <c r="B505" t="inlineStr">
        <is>
          <t>avverkningsanmälan</t>
        </is>
      </c>
      <c r="C505" t="inlineStr">
        <is>
          <t>Föryngringsavverkning</t>
        </is>
      </c>
      <c r="D505" s="1" t="n">
        <v>46008</v>
      </c>
      <c r="E505" s="1" t="n">
        <v>46221</v>
      </c>
      <c r="F505" t="inlineStr">
        <is>
          <t>KALMAR LÄN</t>
        </is>
      </c>
      <c r="G505" t="inlineStr">
        <is>
          <t>HULTSFRED</t>
        </is>
      </c>
      <c r="I505" t="n">
        <v>6.2</v>
      </c>
      <c r="J505" t="n">
        <v>0</v>
      </c>
      <c r="K505" t="n">
        <v>0</v>
      </c>
      <c r="L505" t="n">
        <v>0</v>
      </c>
      <c r="M505" t="n">
        <v>0</v>
      </c>
      <c r="N505" t="n">
        <v>0</v>
      </c>
      <c r="O505" t="n">
        <v>0</v>
      </c>
      <c r="P505" t="n">
        <v>0</v>
      </c>
      <c r="Q505" t="n">
        <v>0</v>
      </c>
      <c r="R505" t="n">
        <v>0</v>
      </c>
      <c r="S505" t="n">
        <v>0</v>
      </c>
      <c r="T505" t="n">
        <v>0</v>
      </c>
      <c r="U505" s="2" t="inlineStr"/>
    </row>
    <row r="506" ht="15" customHeight="1">
      <c r="A506" t="inlineStr">
        <is>
          <t>A 45865-2025</t>
        </is>
      </c>
      <c r="B506" t="inlineStr">
        <is>
          <t>avverkningsanmälan</t>
        </is>
      </c>
      <c r="C506" t="inlineStr">
        <is>
          <t>Föryngringsavverkning</t>
        </is>
      </c>
      <c r="D506" s="1" t="n">
        <v>45923</v>
      </c>
      <c r="E506" s="1" t="n">
        <v>46221</v>
      </c>
      <c r="F506" t="inlineStr">
        <is>
          <t>KALMAR LÄN</t>
        </is>
      </c>
      <c r="G506" t="inlineStr">
        <is>
          <t>HULTSFRED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39944-2023</t>
        </is>
      </c>
      <c r="B507" t="inlineStr">
        <is>
          <t>avverkningsanmälan</t>
        </is>
      </c>
      <c r="C507" t="inlineStr">
        <is>
          <t>Föryngringsavverkning</t>
        </is>
      </c>
      <c r="D507" s="1" t="n">
        <v>45168</v>
      </c>
      <c r="E507" s="1" t="n">
        <v>46221</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19932-2023</t>
        </is>
      </c>
      <c r="B508" t="inlineStr">
        <is>
          <t>avverkningsanmälan</t>
        </is>
      </c>
      <c r="C508" t="inlineStr">
        <is>
          <t>Föryngringsavverkning</t>
        </is>
      </c>
      <c r="D508" s="1" t="n">
        <v>45054</v>
      </c>
      <c r="E508" s="1" t="n">
        <v>46221</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18055-2024</t>
        </is>
      </c>
      <c r="B509" t="inlineStr">
        <is>
          <t>avverkningsanmälan</t>
        </is>
      </c>
      <c r="C509" t="inlineStr">
        <is>
          <t>Föryngringsavverkning</t>
        </is>
      </c>
      <c r="D509" s="1" t="n">
        <v>45420</v>
      </c>
      <c r="E509" s="1" t="n">
        <v>46221</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27304-2025</t>
        </is>
      </c>
      <c r="B510" t="inlineStr">
        <is>
          <t>avverkningsanmälan</t>
        </is>
      </c>
      <c r="C510" t="inlineStr">
        <is>
          <t>Föryngringsavverkning</t>
        </is>
      </c>
      <c r="D510" s="1" t="n">
        <v>45812</v>
      </c>
      <c r="E510" s="1" t="n">
        <v>46221</v>
      </c>
      <c r="F510" t="inlineStr">
        <is>
          <t>KALMAR LÄN</t>
        </is>
      </c>
      <c r="G510" t="inlineStr">
        <is>
          <t>HULTSFRED</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47726-2025</t>
        </is>
      </c>
      <c r="B511" t="inlineStr">
        <is>
          <t>avverkningsanmälan</t>
        </is>
      </c>
      <c r="C511" t="inlineStr">
        <is>
          <t>Föryngringsavverkning</t>
        </is>
      </c>
      <c r="D511" s="1" t="n">
        <v>45931</v>
      </c>
      <c r="E511" s="1" t="n">
        <v>46221</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45834-2025</t>
        </is>
      </c>
      <c r="B512" t="inlineStr">
        <is>
          <t>avverkningsanmälan</t>
        </is>
      </c>
      <c r="C512" t="inlineStr">
        <is>
          <t>Föryngringsavverkning</t>
        </is>
      </c>
      <c r="D512" s="1" t="n">
        <v>45923</v>
      </c>
      <c r="E512" s="1" t="n">
        <v>46221</v>
      </c>
      <c r="F512" t="inlineStr">
        <is>
          <t>KALMAR LÄN</t>
        </is>
      </c>
      <c r="G512" t="inlineStr">
        <is>
          <t>HULTSFRED</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40334-2023</t>
        </is>
      </c>
      <c r="B513" t="inlineStr">
        <is>
          <t>avverkningsanmälan</t>
        </is>
      </c>
      <c r="C513" t="inlineStr">
        <is>
          <t>Föryngringsavverkning</t>
        </is>
      </c>
      <c r="D513" s="1" t="n">
        <v>45169</v>
      </c>
      <c r="E513" s="1" t="n">
        <v>46221</v>
      </c>
      <c r="F513" t="inlineStr">
        <is>
          <t>KALMAR LÄN</t>
        </is>
      </c>
      <c r="G513" t="inlineStr">
        <is>
          <t>HULTSFRED</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6560-2024</t>
        </is>
      </c>
      <c r="B514" t="inlineStr">
        <is>
          <t>avverkningsanmälan</t>
        </is>
      </c>
      <c r="C514" t="inlineStr">
        <is>
          <t>Föryngringsavverkning</t>
        </is>
      </c>
      <c r="D514" s="1" t="n">
        <v>45341</v>
      </c>
      <c r="E514" s="1" t="n">
        <v>46221</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21642-2025</t>
        </is>
      </c>
      <c r="B515" t="inlineStr">
        <is>
          <t>avverkningsanmälan</t>
        </is>
      </c>
      <c r="C515" t="inlineStr">
        <is>
          <t>Föryngringsavverkning</t>
        </is>
      </c>
      <c r="D515" s="1" t="n">
        <v>45783</v>
      </c>
      <c r="E515" s="1" t="n">
        <v>46221</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48806-2025</t>
        </is>
      </c>
      <c r="B516" t="inlineStr">
        <is>
          <t>avverkningsanmälan</t>
        </is>
      </c>
      <c r="C516" t="inlineStr">
        <is>
          <t>Föryngringsavverkning</t>
        </is>
      </c>
      <c r="D516" s="1" t="n">
        <v>45937</v>
      </c>
      <c r="E516" s="1" t="n">
        <v>46221</v>
      </c>
      <c r="F516" t="inlineStr">
        <is>
          <t>KALMAR LÄN</t>
        </is>
      </c>
      <c r="G516" t="inlineStr">
        <is>
          <t>HULTSFRED</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30674-2025</t>
        </is>
      </c>
      <c r="B517" t="inlineStr">
        <is>
          <t>avverkningsanmälan</t>
        </is>
      </c>
      <c r="C517" t="inlineStr">
        <is>
          <t>Föryngringsavverkning</t>
        </is>
      </c>
      <c r="D517" s="1" t="n">
        <v>45831</v>
      </c>
      <c r="E517" s="1" t="n">
        <v>46221</v>
      </c>
      <c r="F517" t="inlineStr">
        <is>
          <t>KALMAR LÄN</t>
        </is>
      </c>
      <c r="G517" t="inlineStr">
        <is>
          <t>HULTSFRED</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31783-2025</t>
        </is>
      </c>
      <c r="B518" t="inlineStr">
        <is>
          <t>avverkningsanmälan</t>
        </is>
      </c>
      <c r="C518" t="inlineStr">
        <is>
          <t>Föryngringsavverkning</t>
        </is>
      </c>
      <c r="D518" s="1" t="n">
        <v>45834</v>
      </c>
      <c r="E518" s="1" t="n">
        <v>46221</v>
      </c>
      <c r="F518" t="inlineStr">
        <is>
          <t>KALMAR LÄN</t>
        </is>
      </c>
      <c r="G518" t="inlineStr">
        <is>
          <t>HULTSFRED</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7210-2025</t>
        </is>
      </c>
      <c r="B519" t="inlineStr">
        <is>
          <t>avverkningsanmälan</t>
        </is>
      </c>
      <c r="C519" t="inlineStr">
        <is>
          <t>Föryngringsavverkning</t>
        </is>
      </c>
      <c r="D519" s="1" t="n">
        <v>45702</v>
      </c>
      <c r="E519" s="1" t="n">
        <v>46221</v>
      </c>
      <c r="F519" t="inlineStr">
        <is>
          <t>KALMAR LÄN</t>
        </is>
      </c>
      <c r="G519" t="inlineStr">
        <is>
          <t>HULTSFRED</t>
        </is>
      </c>
      <c r="H519" t="inlineStr">
        <is>
          <t>Sveaskog</t>
        </is>
      </c>
      <c r="I519" t="n">
        <v>4.5</v>
      </c>
      <c r="J519" t="n">
        <v>0</v>
      </c>
      <c r="K519" t="n">
        <v>0</v>
      </c>
      <c r="L519" t="n">
        <v>0</v>
      </c>
      <c r="M519" t="n">
        <v>0</v>
      </c>
      <c r="N519" t="n">
        <v>0</v>
      </c>
      <c r="O519" t="n">
        <v>0</v>
      </c>
      <c r="P519" t="n">
        <v>0</v>
      </c>
      <c r="Q519" t="n">
        <v>0</v>
      </c>
      <c r="R519" t="n">
        <v>0</v>
      </c>
      <c r="S519" t="n">
        <v>0</v>
      </c>
      <c r="T519" t="n">
        <v>0</v>
      </c>
      <c r="U519" s="2" t="inlineStr"/>
    </row>
    <row r="520" ht="15" customHeight="1">
      <c r="A520" t="inlineStr">
        <is>
          <t>A 49881-2025</t>
        </is>
      </c>
      <c r="B520" t="inlineStr">
        <is>
          <t>avverkningsanmälan</t>
        </is>
      </c>
      <c r="C520" t="inlineStr">
        <is>
          <t>Föryngringsavverkning</t>
        </is>
      </c>
      <c r="D520" s="1" t="n">
        <v>45940</v>
      </c>
      <c r="E520" s="1" t="n">
        <v>46221</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26909-2022</t>
        </is>
      </c>
      <c r="B521" t="inlineStr">
        <is>
          <t>avverkningsanmälan</t>
        </is>
      </c>
      <c r="C521" t="inlineStr">
        <is>
          <t>Föryngringsavverkning</t>
        </is>
      </c>
      <c r="D521" s="1" t="n">
        <v>44740</v>
      </c>
      <c r="E521" s="1" t="n">
        <v>46221</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26074-2026</t>
        </is>
      </c>
      <c r="B522" t="inlineStr">
        <is>
          <t>avverkningsanmälan</t>
        </is>
      </c>
      <c r="C522" t="inlineStr">
        <is>
          <t>Föryngringsavverkning</t>
        </is>
      </c>
      <c r="D522" s="1" t="n">
        <v>46181</v>
      </c>
      <c r="E522" s="1" t="n">
        <v>46221</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26329-2026</t>
        </is>
      </c>
      <c r="B523" t="inlineStr">
        <is>
          <t>avverkningsanmälan</t>
        </is>
      </c>
      <c r="C523" t="inlineStr">
        <is>
          <t>Föryngringsavverkning</t>
        </is>
      </c>
      <c r="D523" s="1" t="n">
        <v>46182</v>
      </c>
      <c r="E523" s="1" t="n">
        <v>46221</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21619-2023</t>
        </is>
      </c>
      <c r="B524" t="inlineStr">
        <is>
          <t>avverkningsanmälan</t>
        </is>
      </c>
      <c r="C524" t="inlineStr">
        <is>
          <t>Föryngringsavverkning</t>
        </is>
      </c>
      <c r="D524" s="1" t="n">
        <v>45063</v>
      </c>
      <c r="E524" s="1" t="n">
        <v>46221</v>
      </c>
      <c r="F524" t="inlineStr">
        <is>
          <t>KALMAR LÄN</t>
        </is>
      </c>
      <c r="G524" t="inlineStr">
        <is>
          <t>HULTSFRED</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56358-2024</t>
        </is>
      </c>
      <c r="B525" t="inlineStr">
        <is>
          <t>avverkningsanmälan</t>
        </is>
      </c>
      <c r="C525" t="inlineStr">
        <is>
          <t>Föryngringsavverkning</t>
        </is>
      </c>
      <c r="D525" s="1" t="n">
        <v>45624</v>
      </c>
      <c r="E525" s="1" t="n">
        <v>46221</v>
      </c>
      <c r="F525" t="inlineStr">
        <is>
          <t>KALMAR LÄN</t>
        </is>
      </c>
      <c r="G525" t="inlineStr">
        <is>
          <t>HULTSFRED</t>
        </is>
      </c>
      <c r="I525" t="n">
        <v>5.1</v>
      </c>
      <c r="J525" t="n">
        <v>0</v>
      </c>
      <c r="K525" t="n">
        <v>0</v>
      </c>
      <c r="L525" t="n">
        <v>0</v>
      </c>
      <c r="M525" t="n">
        <v>0</v>
      </c>
      <c r="N525" t="n">
        <v>0</v>
      </c>
      <c r="O525" t="n">
        <v>0</v>
      </c>
      <c r="P525" t="n">
        <v>0</v>
      </c>
      <c r="Q525" t="n">
        <v>0</v>
      </c>
      <c r="R525" t="n">
        <v>0</v>
      </c>
      <c r="S525" t="n">
        <v>0</v>
      </c>
      <c r="T525" t="n">
        <v>0</v>
      </c>
      <c r="U525" s="2" t="inlineStr"/>
    </row>
    <row r="526" ht="15" customHeight="1">
      <c r="A526" t="inlineStr">
        <is>
          <t>A 25995-2026</t>
        </is>
      </c>
      <c r="B526" t="inlineStr">
        <is>
          <t>avverkningsanmälan</t>
        </is>
      </c>
      <c r="C526" t="inlineStr">
        <is>
          <t>Föryngringsavverkning</t>
        </is>
      </c>
      <c r="D526" s="1" t="n">
        <v>46181</v>
      </c>
      <c r="E526" s="1" t="n">
        <v>46221</v>
      </c>
      <c r="F526" t="inlineStr">
        <is>
          <t>KALMAR LÄN</t>
        </is>
      </c>
      <c r="G526" t="inlineStr">
        <is>
          <t>HULTSFRED</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45660-2023</t>
        </is>
      </c>
      <c r="B527" t="inlineStr">
        <is>
          <t>avverkningsanmälan</t>
        </is>
      </c>
      <c r="C527" t="inlineStr">
        <is>
          <t>Föryngringsavverkning</t>
        </is>
      </c>
      <c r="D527" s="1" t="n">
        <v>45194</v>
      </c>
      <c r="E527" s="1" t="n">
        <v>46221</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26339-2026</t>
        </is>
      </c>
      <c r="B528" t="inlineStr">
        <is>
          <t>avverkningsanmälan</t>
        </is>
      </c>
      <c r="C528" t="inlineStr">
        <is>
          <t>Föryngringsavverkning</t>
        </is>
      </c>
      <c r="D528" s="1" t="n">
        <v>46182</v>
      </c>
      <c r="E528" s="1" t="n">
        <v>46221</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19117-2024</t>
        </is>
      </c>
      <c r="B529" t="inlineStr">
        <is>
          <t>avverkningsanmälan</t>
        </is>
      </c>
      <c r="C529" t="inlineStr">
        <is>
          <t>Föryngringsavverkning</t>
        </is>
      </c>
      <c r="D529" s="1" t="n">
        <v>45427</v>
      </c>
      <c r="E529" s="1" t="n">
        <v>46221</v>
      </c>
      <c r="F529" t="inlineStr">
        <is>
          <t>KALMAR LÄN</t>
        </is>
      </c>
      <c r="G529" t="inlineStr">
        <is>
          <t>HULTSFRED</t>
        </is>
      </c>
      <c r="I529" t="n">
        <v>3</v>
      </c>
      <c r="J529" t="n">
        <v>0</v>
      </c>
      <c r="K529" t="n">
        <v>0</v>
      </c>
      <c r="L529" t="n">
        <v>0</v>
      </c>
      <c r="M529" t="n">
        <v>0</v>
      </c>
      <c r="N529" t="n">
        <v>0</v>
      </c>
      <c r="O529" t="n">
        <v>0</v>
      </c>
      <c r="P529" t="n">
        <v>0</v>
      </c>
      <c r="Q529" t="n">
        <v>0</v>
      </c>
      <c r="R529" t="n">
        <v>0</v>
      </c>
      <c r="S529" t="n">
        <v>0</v>
      </c>
      <c r="T529" t="n">
        <v>0</v>
      </c>
      <c r="U529" s="2" t="inlineStr"/>
    </row>
    <row r="530" ht="15" customHeight="1">
      <c r="A530" t="inlineStr">
        <is>
          <t>A 30281-2025</t>
        </is>
      </c>
      <c r="B530" t="inlineStr">
        <is>
          <t>avverkningsanmälan</t>
        </is>
      </c>
      <c r="C530" t="inlineStr">
        <is>
          <t>Föryngringsavverkning</t>
        </is>
      </c>
      <c r="D530" s="1" t="n">
        <v>45827</v>
      </c>
      <c r="E530" s="1" t="n">
        <v>46221</v>
      </c>
      <c r="F530" t="inlineStr">
        <is>
          <t>KALMAR LÄN</t>
        </is>
      </c>
      <c r="G530" t="inlineStr">
        <is>
          <t>HULTSFRED</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72860-2021</t>
        </is>
      </c>
      <c r="B531" t="inlineStr">
        <is>
          <t>avverkningsanmälan</t>
        </is>
      </c>
      <c r="C531" t="inlineStr">
        <is>
          <t>Föryngringsavverkning</t>
        </is>
      </c>
      <c r="D531" s="1" t="n">
        <v>44547</v>
      </c>
      <c r="E531" s="1" t="n">
        <v>46221</v>
      </c>
      <c r="F531" t="inlineStr">
        <is>
          <t>KALMAR LÄN</t>
        </is>
      </c>
      <c r="G531" t="inlineStr">
        <is>
          <t>HULTSFRED</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26309-2026</t>
        </is>
      </c>
      <c r="B532" t="inlineStr">
        <is>
          <t>avverkningsanmälan</t>
        </is>
      </c>
      <c r="C532" t="inlineStr">
        <is>
          <t>Avverkning för att bevara och utveckla /försöksver</t>
        </is>
      </c>
      <c r="D532" s="1" t="n">
        <v>46182</v>
      </c>
      <c r="E532" s="1" t="n">
        <v>46221</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15636-2025</t>
        </is>
      </c>
      <c r="B533" t="inlineStr">
        <is>
          <t>avverkningsanmälan</t>
        </is>
      </c>
      <c r="C533" t="inlineStr">
        <is>
          <t>Föryngringsavverkning</t>
        </is>
      </c>
      <c r="D533" s="1" t="n">
        <v>45748</v>
      </c>
      <c r="E533" s="1" t="n">
        <v>46221</v>
      </c>
      <c r="F533" t="inlineStr">
        <is>
          <t>KALMAR LÄN</t>
        </is>
      </c>
      <c r="G533" t="inlineStr">
        <is>
          <t>HULTSFRED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A 58095-2023</t>
        </is>
      </c>
      <c r="B534" t="inlineStr">
        <is>
          <t>avverkningsanmälan</t>
        </is>
      </c>
      <c r="C534" t="inlineStr">
        <is>
          <t>Föryngringsavverkning</t>
        </is>
      </c>
      <c r="D534" s="1" t="n">
        <v>45248</v>
      </c>
      <c r="E534" s="1" t="n">
        <v>46221</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29728-2025</t>
        </is>
      </c>
      <c r="B535" t="inlineStr">
        <is>
          <t>avverkningsanmälan</t>
        </is>
      </c>
      <c r="C535" t="inlineStr">
        <is>
          <t>Föryngringsavverkning</t>
        </is>
      </c>
      <c r="D535" s="1" t="n">
        <v>45825</v>
      </c>
      <c r="E535" s="1" t="n">
        <v>46221</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54053-2024</t>
        </is>
      </c>
      <c r="B536" t="inlineStr">
        <is>
          <t>avverkningsanmälan</t>
        </is>
      </c>
      <c r="C536" t="inlineStr">
        <is>
          <t>Föryngringsavverkning</t>
        </is>
      </c>
      <c r="D536" s="1" t="n">
        <v>45616</v>
      </c>
      <c r="E536" s="1" t="n">
        <v>46221</v>
      </c>
      <c r="F536" t="inlineStr">
        <is>
          <t>KALMAR LÄN</t>
        </is>
      </c>
      <c r="G536" t="inlineStr">
        <is>
          <t>HULTSFRED</t>
        </is>
      </c>
      <c r="H536" t="inlineStr">
        <is>
          <t>Kyrkan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62721-2025</t>
        </is>
      </c>
      <c r="B537" t="inlineStr">
        <is>
          <t>avverkningsanmälan</t>
        </is>
      </c>
      <c r="C537" t="inlineStr">
        <is>
          <t>Föryngringsavverkning</t>
        </is>
      </c>
      <c r="D537" s="1" t="n">
        <v>46008</v>
      </c>
      <c r="E537" s="1" t="n">
        <v>46221</v>
      </c>
      <c r="F537" t="inlineStr">
        <is>
          <t>KALMAR LÄN</t>
        </is>
      </c>
      <c r="G537" t="inlineStr">
        <is>
          <t>HULTSFRED</t>
        </is>
      </c>
      <c r="I537" t="n">
        <v>4.7</v>
      </c>
      <c r="J537" t="n">
        <v>0</v>
      </c>
      <c r="K537" t="n">
        <v>0</v>
      </c>
      <c r="L537" t="n">
        <v>0</v>
      </c>
      <c r="M537" t="n">
        <v>0</v>
      </c>
      <c r="N537" t="n">
        <v>0</v>
      </c>
      <c r="O537" t="n">
        <v>0</v>
      </c>
      <c r="P537" t="n">
        <v>0</v>
      </c>
      <c r="Q537" t="n">
        <v>0</v>
      </c>
      <c r="R537" t="n">
        <v>0</v>
      </c>
      <c r="S537" t="n">
        <v>0</v>
      </c>
      <c r="T537" t="n">
        <v>0</v>
      </c>
      <c r="U537" s="2" t="inlineStr"/>
    </row>
    <row r="538" ht="15" customHeight="1">
      <c r="A538" t="inlineStr">
        <is>
          <t>A 5643-2026</t>
        </is>
      </c>
      <c r="B538" t="inlineStr">
        <is>
          <t>avverkningsanmälan</t>
        </is>
      </c>
      <c r="C538" t="inlineStr">
        <is>
          <t>Föryngringsavverkning</t>
        </is>
      </c>
      <c r="D538" s="1" t="n">
        <v>46051</v>
      </c>
      <c r="E538" s="1" t="n">
        <v>46221</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50320-2023</t>
        </is>
      </c>
      <c r="B539" t="inlineStr">
        <is>
          <t>avverkningsanmälan</t>
        </is>
      </c>
      <c r="C539" t="inlineStr">
        <is>
          <t>Föryngringsavverkning</t>
        </is>
      </c>
      <c r="D539" s="1" t="n">
        <v>45216</v>
      </c>
      <c r="E539" s="1" t="n">
        <v>46221</v>
      </c>
      <c r="F539" t="inlineStr">
        <is>
          <t>KALMAR LÄN</t>
        </is>
      </c>
      <c r="G539" t="inlineStr">
        <is>
          <t>HULTSFRED</t>
        </is>
      </c>
      <c r="I539" t="n">
        <v>3.8</v>
      </c>
      <c r="J539" t="n">
        <v>0</v>
      </c>
      <c r="K539" t="n">
        <v>0</v>
      </c>
      <c r="L539" t="n">
        <v>0</v>
      </c>
      <c r="M539" t="n">
        <v>0</v>
      </c>
      <c r="N539" t="n">
        <v>0</v>
      </c>
      <c r="O539" t="n">
        <v>0</v>
      </c>
      <c r="P539" t="n">
        <v>0</v>
      </c>
      <c r="Q539" t="n">
        <v>0</v>
      </c>
      <c r="R539" t="n">
        <v>0</v>
      </c>
      <c r="S539" t="n">
        <v>0</v>
      </c>
      <c r="T539" t="n">
        <v>0</v>
      </c>
      <c r="U539" s="2" t="inlineStr"/>
    </row>
    <row r="540" ht="15" customHeight="1">
      <c r="A540" t="inlineStr">
        <is>
          <t>A 25582-2022</t>
        </is>
      </c>
      <c r="B540" t="inlineStr">
        <is>
          <t>avverkningsanmälan</t>
        </is>
      </c>
      <c r="C540" t="inlineStr">
        <is>
          <t>Föryngringsavverkning</t>
        </is>
      </c>
      <c r="D540" s="1" t="n">
        <v>44732</v>
      </c>
      <c r="E540" s="1" t="n">
        <v>46221</v>
      </c>
      <c r="F540" t="inlineStr">
        <is>
          <t>KALMAR LÄN</t>
        </is>
      </c>
      <c r="G540" t="inlineStr">
        <is>
          <t>HULTSFRED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5589-2025</t>
        </is>
      </c>
      <c r="B541" t="inlineStr">
        <is>
          <t>avverkningsanmälan</t>
        </is>
      </c>
      <c r="C541" t="inlineStr">
        <is>
          <t>Föryngringsavverkning</t>
        </is>
      </c>
      <c r="D541" s="1" t="n">
        <v>45693</v>
      </c>
      <c r="E541" s="1" t="n">
        <v>46221</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27537-2025</t>
        </is>
      </c>
      <c r="B542" t="inlineStr">
        <is>
          <t>avverkningsanmälan</t>
        </is>
      </c>
      <c r="C542" t="inlineStr">
        <is>
          <t>Föryngringsavverkning</t>
        </is>
      </c>
      <c r="D542" s="1" t="n">
        <v>45813</v>
      </c>
      <c r="E542" s="1" t="n">
        <v>46221</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15780-2025</t>
        </is>
      </c>
      <c r="B543" t="inlineStr">
        <is>
          <t>avverkningsanmälan</t>
        </is>
      </c>
      <c r="C543" t="inlineStr">
        <is>
          <t>Föryngringsavverkning</t>
        </is>
      </c>
      <c r="D543" s="1" t="n">
        <v>45748</v>
      </c>
      <c r="E543" s="1" t="n">
        <v>46221</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23147-2022</t>
        </is>
      </c>
      <c r="B544" t="inlineStr">
        <is>
          <t>avverkningsanmälan</t>
        </is>
      </c>
      <c r="C544" t="inlineStr">
        <is>
          <t>Föryngringsavverkning</t>
        </is>
      </c>
      <c r="D544" s="1" t="n">
        <v>44719</v>
      </c>
      <c r="E544" s="1" t="n">
        <v>46221</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42460-2023</t>
        </is>
      </c>
      <c r="B545" t="inlineStr">
        <is>
          <t>avverkningsanmälan</t>
        </is>
      </c>
      <c r="C545" t="inlineStr">
        <is>
          <t>Föryngringsavverkning</t>
        </is>
      </c>
      <c r="D545" s="1" t="n">
        <v>45175</v>
      </c>
      <c r="E545" s="1" t="n">
        <v>46221</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44196-2023</t>
        </is>
      </c>
      <c r="B546" t="inlineStr">
        <is>
          <t>avverkningsanmälan</t>
        </is>
      </c>
      <c r="C546" t="inlineStr">
        <is>
          <t>Föryngringsavverkning</t>
        </is>
      </c>
      <c r="D546" s="1" t="n">
        <v>45188</v>
      </c>
      <c r="E546" s="1" t="n">
        <v>46221</v>
      </c>
      <c r="F546" t="inlineStr">
        <is>
          <t>KALMAR LÄN</t>
        </is>
      </c>
      <c r="G546" t="inlineStr">
        <is>
          <t>HULTSFRED</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26469-2026</t>
        </is>
      </c>
      <c r="B547" t="inlineStr">
        <is>
          <t>avverkningsanmälan</t>
        </is>
      </c>
      <c r="C547" t="inlineStr">
        <is>
          <t>Föryngringsavverkning</t>
        </is>
      </c>
      <c r="D547" s="1" t="n">
        <v>46183</v>
      </c>
      <c r="E547" s="1" t="n">
        <v>46221</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26476-2026</t>
        </is>
      </c>
      <c r="B548" t="inlineStr">
        <is>
          <t>avverkningsanmälan</t>
        </is>
      </c>
      <c r="C548" t="inlineStr">
        <is>
          <t>Föryngringsavverkning</t>
        </is>
      </c>
      <c r="D548" s="1" t="n">
        <v>46183</v>
      </c>
      <c r="E548" s="1" t="n">
        <v>46221</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26517-2026</t>
        </is>
      </c>
      <c r="B549" t="inlineStr">
        <is>
          <t>avverkningsanmälan</t>
        </is>
      </c>
      <c r="C549" t="inlineStr">
        <is>
          <t>Föryngringsavverkning</t>
        </is>
      </c>
      <c r="D549" s="1" t="n">
        <v>46183</v>
      </c>
      <c r="E549" s="1" t="n">
        <v>46221</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3753-2025</t>
        </is>
      </c>
      <c r="B550" t="inlineStr">
        <is>
          <t>avverkningsanmälan</t>
        </is>
      </c>
      <c r="C550" t="inlineStr">
        <is>
          <t>Föryngringsavverkning</t>
        </is>
      </c>
      <c r="D550" s="1" t="n">
        <v>45681</v>
      </c>
      <c r="E550" s="1" t="n">
        <v>46221</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3762-2025</t>
        </is>
      </c>
      <c r="B551" t="inlineStr">
        <is>
          <t>avverkningsanmälan</t>
        </is>
      </c>
      <c r="C551" t="inlineStr">
        <is>
          <t>Föryngringsavverkning</t>
        </is>
      </c>
      <c r="D551" s="1" t="n">
        <v>45681</v>
      </c>
      <c r="E551" s="1" t="n">
        <v>46221</v>
      </c>
      <c r="F551" t="inlineStr">
        <is>
          <t>KALMAR LÄN</t>
        </is>
      </c>
      <c r="G551" t="inlineStr">
        <is>
          <t>HULTSFRED</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24257-2022</t>
        </is>
      </c>
      <c r="B552" t="inlineStr">
        <is>
          <t>avverkningsanmälan</t>
        </is>
      </c>
      <c r="C552" t="inlineStr">
        <is>
          <t>Föryngringsavverkning</t>
        </is>
      </c>
      <c r="D552" s="1" t="n">
        <v>44725</v>
      </c>
      <c r="E552" s="1" t="n">
        <v>46221</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26461-2026</t>
        </is>
      </c>
      <c r="B553" t="inlineStr">
        <is>
          <t>avverkningsanmälan</t>
        </is>
      </c>
      <c r="C553" t="inlineStr">
        <is>
          <t>Föryngringsavverkning</t>
        </is>
      </c>
      <c r="D553" s="1" t="n">
        <v>46183</v>
      </c>
      <c r="E553" s="1" t="n">
        <v>46221</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26488-2026</t>
        </is>
      </c>
      <c r="B554" t="inlineStr">
        <is>
          <t>avverkningsanmälan</t>
        </is>
      </c>
      <c r="C554" t="inlineStr">
        <is>
          <t>Avverkning för annat ändamål</t>
        </is>
      </c>
      <c r="D554" s="1" t="n">
        <v>46183</v>
      </c>
      <c r="E554" s="1" t="n">
        <v>46221</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39845-2022</t>
        </is>
      </c>
      <c r="B555" t="inlineStr">
        <is>
          <t>avverkningsanmälan</t>
        </is>
      </c>
      <c r="C555" t="inlineStr">
        <is>
          <t>Avverkning för annat ändamål</t>
        </is>
      </c>
      <c r="D555" s="1" t="n">
        <v>44819</v>
      </c>
      <c r="E555" s="1" t="n">
        <v>46221</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22645-2023</t>
        </is>
      </c>
      <c r="B556" t="inlineStr">
        <is>
          <t>avverkningsanmälan</t>
        </is>
      </c>
      <c r="C556" t="inlineStr">
        <is>
          <t>Föryngringsavverkning</t>
        </is>
      </c>
      <c r="D556" s="1" t="n">
        <v>45071</v>
      </c>
      <c r="E556" s="1" t="n">
        <v>46221</v>
      </c>
      <c r="F556" t="inlineStr">
        <is>
          <t>KALMAR LÄN</t>
        </is>
      </c>
      <c r="G556" t="inlineStr">
        <is>
          <t>HULTSFRED</t>
        </is>
      </c>
      <c r="I556" t="n">
        <v>7.8</v>
      </c>
      <c r="J556" t="n">
        <v>0</v>
      </c>
      <c r="K556" t="n">
        <v>0</v>
      </c>
      <c r="L556" t="n">
        <v>0</v>
      </c>
      <c r="M556" t="n">
        <v>0</v>
      </c>
      <c r="N556" t="n">
        <v>0</v>
      </c>
      <c r="O556" t="n">
        <v>0</v>
      </c>
      <c r="P556" t="n">
        <v>0</v>
      </c>
      <c r="Q556" t="n">
        <v>0</v>
      </c>
      <c r="R556" t="n">
        <v>0</v>
      </c>
      <c r="S556" t="n">
        <v>0</v>
      </c>
      <c r="T556" t="n">
        <v>0</v>
      </c>
      <c r="U556" s="2" t="inlineStr"/>
    </row>
    <row r="557" ht="15" customHeight="1">
      <c r="A557" t="inlineStr">
        <is>
          <t>A 41277-2022</t>
        </is>
      </c>
      <c r="B557" t="inlineStr">
        <is>
          <t>avverkningsanmälan</t>
        </is>
      </c>
      <c r="C557" t="inlineStr">
        <is>
          <t>Föryngringsavverkning</t>
        </is>
      </c>
      <c r="D557" s="1" t="n">
        <v>44826</v>
      </c>
      <c r="E557" s="1" t="n">
        <v>46221</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46415-2023</t>
        </is>
      </c>
      <c r="B558" t="inlineStr">
        <is>
          <t>avverkningsanmälan</t>
        </is>
      </c>
      <c r="C558" t="inlineStr">
        <is>
          <t>Föryngringsavverkning</t>
        </is>
      </c>
      <c r="D558" s="1" t="n">
        <v>45194</v>
      </c>
      <c r="E558" s="1" t="n">
        <v>46221</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26579-2026</t>
        </is>
      </c>
      <c r="B559" t="inlineStr">
        <is>
          <t>avverkningsanmälan</t>
        </is>
      </c>
      <c r="C559" t="inlineStr">
        <is>
          <t>Avverkning för annat ändamål</t>
        </is>
      </c>
      <c r="D559" s="1" t="n">
        <v>46183</v>
      </c>
      <c r="E559" s="1" t="n">
        <v>46221</v>
      </c>
      <c r="F559" t="inlineStr">
        <is>
          <t>KALMAR LÄN</t>
        </is>
      </c>
      <c r="G559" t="inlineStr">
        <is>
          <t>HULTSFRED</t>
        </is>
      </c>
      <c r="I559" t="n">
        <v>23.6</v>
      </c>
      <c r="J559" t="n">
        <v>0</v>
      </c>
      <c r="K559" t="n">
        <v>0</v>
      </c>
      <c r="L559" t="n">
        <v>0</v>
      </c>
      <c r="M559" t="n">
        <v>0</v>
      </c>
      <c r="N559" t="n">
        <v>0</v>
      </c>
      <c r="O559" t="n">
        <v>0</v>
      </c>
      <c r="P559" t="n">
        <v>0</v>
      </c>
      <c r="Q559" t="n">
        <v>0</v>
      </c>
      <c r="R559" t="n">
        <v>0</v>
      </c>
      <c r="S559" t="n">
        <v>0</v>
      </c>
      <c r="T559" t="n">
        <v>0</v>
      </c>
      <c r="U559" s="2" t="inlineStr"/>
    </row>
    <row r="560" ht="15" customHeight="1">
      <c r="A560" t="inlineStr">
        <is>
          <t>A 55674-2023</t>
        </is>
      </c>
      <c r="B560" t="inlineStr">
        <is>
          <t>avverkningsanmälan</t>
        </is>
      </c>
      <c r="C560" t="inlineStr">
        <is>
          <t>Föryngringsavverkning</t>
        </is>
      </c>
      <c r="D560" s="1" t="n">
        <v>45239</v>
      </c>
      <c r="E560" s="1" t="n">
        <v>46221</v>
      </c>
      <c r="F560" t="inlineStr">
        <is>
          <t>KALMAR LÄN</t>
        </is>
      </c>
      <c r="G560" t="inlineStr">
        <is>
          <t>HULTSFRED</t>
        </is>
      </c>
      <c r="I560" t="n">
        <v>5.6</v>
      </c>
      <c r="J560" t="n">
        <v>0</v>
      </c>
      <c r="K560" t="n">
        <v>0</v>
      </c>
      <c r="L560" t="n">
        <v>0</v>
      </c>
      <c r="M560" t="n">
        <v>0</v>
      </c>
      <c r="N560" t="n">
        <v>0</v>
      </c>
      <c r="O560" t="n">
        <v>0</v>
      </c>
      <c r="P560" t="n">
        <v>0</v>
      </c>
      <c r="Q560" t="n">
        <v>0</v>
      </c>
      <c r="R560" t="n">
        <v>0</v>
      </c>
      <c r="S560" t="n">
        <v>0</v>
      </c>
      <c r="T560" t="n">
        <v>0</v>
      </c>
      <c r="U560" s="2" t="inlineStr"/>
    </row>
    <row r="561" ht="15" customHeight="1">
      <c r="A561" t="inlineStr">
        <is>
          <t>A 27293-2026</t>
        </is>
      </c>
      <c r="B561" t="inlineStr">
        <is>
          <t>avverkningsanmälan</t>
        </is>
      </c>
      <c r="C561" t="inlineStr">
        <is>
          <t>Föryngringsavverkning</t>
        </is>
      </c>
      <c r="D561" s="1" t="n">
        <v>46184</v>
      </c>
      <c r="E561" s="1" t="n">
        <v>46221</v>
      </c>
      <c r="F561" t="inlineStr">
        <is>
          <t>KALMAR LÄN</t>
        </is>
      </c>
      <c r="G561" t="inlineStr">
        <is>
          <t>HULTSFRED</t>
        </is>
      </c>
      <c r="I561" t="n">
        <v>6.3</v>
      </c>
      <c r="J561" t="n">
        <v>0</v>
      </c>
      <c r="K561" t="n">
        <v>0</v>
      </c>
      <c r="L561" t="n">
        <v>0</v>
      </c>
      <c r="M561" t="n">
        <v>0</v>
      </c>
      <c r="N561" t="n">
        <v>0</v>
      </c>
      <c r="O561" t="n">
        <v>0</v>
      </c>
      <c r="P561" t="n">
        <v>0</v>
      </c>
      <c r="Q561" t="n">
        <v>0</v>
      </c>
      <c r="R561" t="n">
        <v>0</v>
      </c>
      <c r="S561" t="n">
        <v>0</v>
      </c>
      <c r="T561" t="n">
        <v>0</v>
      </c>
      <c r="U561" s="2" t="inlineStr"/>
    </row>
    <row r="562" ht="15" customHeight="1">
      <c r="A562" t="inlineStr">
        <is>
          <t>A 59977-2023</t>
        </is>
      </c>
      <c r="B562" t="inlineStr">
        <is>
          <t>avverkningsanmälan</t>
        </is>
      </c>
      <c r="C562" t="inlineStr">
        <is>
          <t>Föryngringsavverkning</t>
        </is>
      </c>
      <c r="D562" s="1" t="n">
        <v>45257</v>
      </c>
      <c r="E562" s="1" t="n">
        <v>46221</v>
      </c>
      <c r="F562" t="inlineStr">
        <is>
          <t>KALMAR LÄN</t>
        </is>
      </c>
      <c r="G562" t="inlineStr">
        <is>
          <t>HULTSFRED</t>
        </is>
      </c>
      <c r="H562" t="inlineStr">
        <is>
          <t>Sveaskog</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62478-2023</t>
        </is>
      </c>
      <c r="B563" t="inlineStr">
        <is>
          <t>avverkningsanmälan</t>
        </is>
      </c>
      <c r="C563" t="inlineStr">
        <is>
          <t>Föryngringsavverkning</t>
        </is>
      </c>
      <c r="D563" s="1" t="n">
        <v>45268</v>
      </c>
      <c r="E563" s="1" t="n">
        <v>46221</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27196-2026</t>
        </is>
      </c>
      <c r="B564" t="inlineStr">
        <is>
          <t>avverkningsanmälan</t>
        </is>
      </c>
      <c r="C564" t="inlineStr">
        <is>
          <t>Föryngringsavverkning</t>
        </is>
      </c>
      <c r="D564" s="1" t="n">
        <v>46188</v>
      </c>
      <c r="E564" s="1" t="n">
        <v>46221</v>
      </c>
      <c r="F564" t="inlineStr">
        <is>
          <t>KALMAR LÄN</t>
        </is>
      </c>
      <c r="G564" t="inlineStr">
        <is>
          <t>HULTSFRED</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13348-2025</t>
        </is>
      </c>
      <c r="B565" t="inlineStr">
        <is>
          <t>avverkningsanmälan</t>
        </is>
      </c>
      <c r="C565" t="inlineStr">
        <is>
          <t>Föryngringsavverkning</t>
        </is>
      </c>
      <c r="D565" s="1" t="n">
        <v>45735</v>
      </c>
      <c r="E565" s="1" t="n">
        <v>46221</v>
      </c>
      <c r="F565" t="inlineStr">
        <is>
          <t>KALMAR LÄN</t>
        </is>
      </c>
      <c r="G565" t="inlineStr">
        <is>
          <t>HULTSFRED</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62810-2023</t>
        </is>
      </c>
      <c r="B566" t="inlineStr">
        <is>
          <t>avverkningsanmälan</t>
        </is>
      </c>
      <c r="C566" t="inlineStr">
        <is>
          <t>Föryngringsavverkning</t>
        </is>
      </c>
      <c r="D566" s="1" t="n">
        <v>45271</v>
      </c>
      <c r="E566" s="1" t="n">
        <v>46221</v>
      </c>
      <c r="F566" t="inlineStr">
        <is>
          <t>KALMAR LÄN</t>
        </is>
      </c>
      <c r="G566" t="inlineStr">
        <is>
          <t>HULTSFRED</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27309-2026</t>
        </is>
      </c>
      <c r="B567" t="inlineStr">
        <is>
          <t>avverkningsanmälan</t>
        </is>
      </c>
      <c r="C567" t="inlineStr">
        <is>
          <t>Föryngringsavverkning</t>
        </is>
      </c>
      <c r="D567" s="1" t="n">
        <v>46184</v>
      </c>
      <c r="E567" s="1" t="n">
        <v>46221</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27013-2026</t>
        </is>
      </c>
      <c r="B568" t="inlineStr">
        <is>
          <t>avverkningsanmälan</t>
        </is>
      </c>
      <c r="C568" t="inlineStr">
        <is>
          <t>Föryngringsavverkning</t>
        </is>
      </c>
      <c r="D568" s="1" t="n">
        <v>46185</v>
      </c>
      <c r="E568" s="1" t="n">
        <v>46221</v>
      </c>
      <c r="F568" t="inlineStr">
        <is>
          <t>KALMAR LÄN</t>
        </is>
      </c>
      <c r="G568" t="inlineStr">
        <is>
          <t>HULTSFRED</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12306-2024</t>
        </is>
      </c>
      <c r="B569" t="inlineStr">
        <is>
          <t>avverkningsanmälan</t>
        </is>
      </c>
      <c r="C569" t="inlineStr">
        <is>
          <t>Föryngringsavverkning</t>
        </is>
      </c>
      <c r="D569" s="1" t="n">
        <v>45378</v>
      </c>
      <c r="E569" s="1" t="n">
        <v>46221</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15018-2024</t>
        </is>
      </c>
      <c r="B570" t="inlineStr">
        <is>
          <t>avverkningsanmälan</t>
        </is>
      </c>
      <c r="C570" t="inlineStr">
        <is>
          <t>Föryngringsavverkning</t>
        </is>
      </c>
      <c r="D570" s="1" t="n">
        <v>45399</v>
      </c>
      <c r="E570" s="1" t="n">
        <v>46221</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27279-2026</t>
        </is>
      </c>
      <c r="B571" t="inlineStr">
        <is>
          <t>avverkningsanmälan</t>
        </is>
      </c>
      <c r="C571" t="inlineStr">
        <is>
          <t>Föryngringsavverkning</t>
        </is>
      </c>
      <c r="D571" s="1" t="n">
        <v>46184</v>
      </c>
      <c r="E571" s="1" t="n">
        <v>46221</v>
      </c>
      <c r="F571" t="inlineStr">
        <is>
          <t>KALMAR LÄN</t>
        </is>
      </c>
      <c r="G571" t="inlineStr">
        <is>
          <t>HULTSFRED</t>
        </is>
      </c>
      <c r="I571" t="n">
        <v>4.2</v>
      </c>
      <c r="J571" t="n">
        <v>0</v>
      </c>
      <c r="K571" t="n">
        <v>0</v>
      </c>
      <c r="L571" t="n">
        <v>0</v>
      </c>
      <c r="M571" t="n">
        <v>0</v>
      </c>
      <c r="N571" t="n">
        <v>0</v>
      </c>
      <c r="O571" t="n">
        <v>0</v>
      </c>
      <c r="P571" t="n">
        <v>0</v>
      </c>
      <c r="Q571" t="n">
        <v>0</v>
      </c>
      <c r="R571" t="n">
        <v>0</v>
      </c>
      <c r="S571" t="n">
        <v>0</v>
      </c>
      <c r="T571" t="n">
        <v>0</v>
      </c>
      <c r="U571" s="2" t="inlineStr"/>
    </row>
    <row r="572" ht="15" customHeight="1">
      <c r="A572" t="inlineStr">
        <is>
          <t>A 2212-2024</t>
        </is>
      </c>
      <c r="B572" t="inlineStr">
        <is>
          <t>avverkningsanmälan</t>
        </is>
      </c>
      <c r="C572" t="inlineStr">
        <is>
          <t>Föryngringsavverkning</t>
        </is>
      </c>
      <c r="D572" s="1" t="n">
        <v>45309</v>
      </c>
      <c r="E572" s="1" t="n">
        <v>46221</v>
      </c>
      <c r="F572" t="inlineStr">
        <is>
          <t>KALMAR LÄN</t>
        </is>
      </c>
      <c r="G572" t="inlineStr">
        <is>
          <t>HULTSFRED</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19836-2025</t>
        </is>
      </c>
      <c r="B573" t="inlineStr">
        <is>
          <t>avverkningsanmälan</t>
        </is>
      </c>
      <c r="C573" t="inlineStr">
        <is>
          <t>Föryngringsavverkning</t>
        </is>
      </c>
      <c r="D573" s="1" t="n">
        <v>45771</v>
      </c>
      <c r="E573" s="1" t="n">
        <v>46221</v>
      </c>
      <c r="F573" t="inlineStr">
        <is>
          <t>KALMAR LÄN</t>
        </is>
      </c>
      <c r="G573" t="inlineStr">
        <is>
          <t>HULTSFRED</t>
        </is>
      </c>
      <c r="H573" t="inlineStr">
        <is>
          <t>Sveaskog</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39598-2022</t>
        </is>
      </c>
      <c r="B574" t="inlineStr">
        <is>
          <t>avverkningsanmälan</t>
        </is>
      </c>
      <c r="C574" t="inlineStr">
        <is>
          <t>Föryngringsavverkning</t>
        </is>
      </c>
      <c r="D574" s="1" t="n">
        <v>44818</v>
      </c>
      <c r="E574" s="1" t="n">
        <v>46221</v>
      </c>
      <c r="F574" t="inlineStr">
        <is>
          <t>KALMAR LÄN</t>
        </is>
      </c>
      <c r="G574" t="inlineStr">
        <is>
          <t>HULTSFRED</t>
        </is>
      </c>
      <c r="H574" t="inlineStr">
        <is>
          <t>Övriga Aktiebolag</t>
        </is>
      </c>
      <c r="I574" t="n">
        <v>17.1</v>
      </c>
      <c r="J574" t="n">
        <v>0</v>
      </c>
      <c r="K574" t="n">
        <v>0</v>
      </c>
      <c r="L574" t="n">
        <v>0</v>
      </c>
      <c r="M574" t="n">
        <v>0</v>
      </c>
      <c r="N574" t="n">
        <v>0</v>
      </c>
      <c r="O574" t="n">
        <v>0</v>
      </c>
      <c r="P574" t="n">
        <v>0</v>
      </c>
      <c r="Q574" t="n">
        <v>0</v>
      </c>
      <c r="R574" t="n">
        <v>0</v>
      </c>
      <c r="S574" t="n">
        <v>0</v>
      </c>
      <c r="T574" t="n">
        <v>0</v>
      </c>
      <c r="U574" s="2" t="inlineStr"/>
    </row>
    <row r="575" ht="15" customHeight="1">
      <c r="A575" t="inlineStr">
        <is>
          <t>A 1065-2024</t>
        </is>
      </c>
      <c r="B575" t="inlineStr">
        <is>
          <t>avverkningsanmälan</t>
        </is>
      </c>
      <c r="C575" t="inlineStr">
        <is>
          <t>Föryngringsavverkning</t>
        </is>
      </c>
      <c r="D575" s="1" t="n">
        <v>45302</v>
      </c>
      <c r="E575" s="1" t="n">
        <v>46221</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27524-2026</t>
        </is>
      </c>
      <c r="B576" t="inlineStr">
        <is>
          <t>avverkningsanmälan</t>
        </is>
      </c>
      <c r="C576" t="inlineStr">
        <is>
          <t>Föryngringsavverkning</t>
        </is>
      </c>
      <c r="D576" s="1" t="n">
        <v>46185</v>
      </c>
      <c r="E576" s="1" t="n">
        <v>46221</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41617-2022</t>
        </is>
      </c>
      <c r="B577" t="inlineStr">
        <is>
          <t>avverkningsanmälan</t>
        </is>
      </c>
      <c r="C577" t="inlineStr">
        <is>
          <t>Föryngringsavverkning</t>
        </is>
      </c>
      <c r="D577" s="1" t="n">
        <v>44827</v>
      </c>
      <c r="E577" s="1" t="n">
        <v>46221</v>
      </c>
      <c r="F577" t="inlineStr">
        <is>
          <t>KALMAR LÄN</t>
        </is>
      </c>
      <c r="G577" t="inlineStr">
        <is>
          <t>HULTSFRED</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55030-2023</t>
        </is>
      </c>
      <c r="B578" t="inlineStr">
        <is>
          <t>avverkningsanmälan</t>
        </is>
      </c>
      <c r="C578" t="inlineStr">
        <is>
          <t>Föryngringsavverkning</t>
        </is>
      </c>
      <c r="D578" s="1" t="n">
        <v>45237</v>
      </c>
      <c r="E578" s="1" t="n">
        <v>46221</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62632-2023</t>
        </is>
      </c>
      <c r="B579" t="inlineStr">
        <is>
          <t>avverkningsanmälan</t>
        </is>
      </c>
      <c r="C579" t="inlineStr">
        <is>
          <t>Föryngringsavverkning</t>
        </is>
      </c>
      <c r="D579" s="1" t="n">
        <v>45271</v>
      </c>
      <c r="E579" s="1" t="n">
        <v>46221</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4972-2023</t>
        </is>
      </c>
      <c r="B580" t="inlineStr">
        <is>
          <t>avverkningsanmälan</t>
        </is>
      </c>
      <c r="C580" t="inlineStr">
        <is>
          <t>Föryngringsavverkning</t>
        </is>
      </c>
      <c r="D580" s="1" t="n">
        <v>44958</v>
      </c>
      <c r="E580" s="1" t="n">
        <v>46221</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20035-2023</t>
        </is>
      </c>
      <c r="B581" t="inlineStr">
        <is>
          <t>avverkningsanmälan</t>
        </is>
      </c>
      <c r="C581" t="inlineStr">
        <is>
          <t>Föryngringsavverkning</t>
        </is>
      </c>
      <c r="D581" s="1" t="n">
        <v>45054</v>
      </c>
      <c r="E581" s="1" t="n">
        <v>46221</v>
      </c>
      <c r="F581" t="inlineStr">
        <is>
          <t>KALMAR LÄN</t>
        </is>
      </c>
      <c r="G581" t="inlineStr">
        <is>
          <t>HULTSFRED</t>
        </is>
      </c>
      <c r="I581" t="n">
        <v>1.7</v>
      </c>
      <c r="J581" t="n">
        <v>0</v>
      </c>
      <c r="K581" t="n">
        <v>0</v>
      </c>
      <c r="L581" t="n">
        <v>0</v>
      </c>
      <c r="M581" t="n">
        <v>0</v>
      </c>
      <c r="N581" t="n">
        <v>0</v>
      </c>
      <c r="O581" t="n">
        <v>0</v>
      </c>
      <c r="P581" t="n">
        <v>0</v>
      </c>
      <c r="Q581" t="n">
        <v>0</v>
      </c>
      <c r="R581" t="n">
        <v>0</v>
      </c>
      <c r="S581" t="n">
        <v>0</v>
      </c>
      <c r="T581" t="n">
        <v>0</v>
      </c>
      <c r="U581" s="2" t="inlineStr"/>
    </row>
    <row r="582" ht="15" customHeight="1">
      <c r="A582" t="inlineStr">
        <is>
          <t>A 61898-2023</t>
        </is>
      </c>
      <c r="B582" t="inlineStr">
        <is>
          <t>avverkningsanmälan</t>
        </is>
      </c>
      <c r="C582" t="inlineStr">
        <is>
          <t>Föryngringsavverkning</t>
        </is>
      </c>
      <c r="D582" s="1" t="n">
        <v>45266</v>
      </c>
      <c r="E582" s="1" t="n">
        <v>46221</v>
      </c>
      <c r="F582" t="inlineStr">
        <is>
          <t>KALMAR LÄN</t>
        </is>
      </c>
      <c r="G582" t="inlineStr">
        <is>
          <t>HULTSFRED</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36638-2024</t>
        </is>
      </c>
      <c r="B583" t="inlineStr">
        <is>
          <t>avverkningsanmälan</t>
        </is>
      </c>
      <c r="C583" t="inlineStr">
        <is>
          <t>Föryngringsavverkning</t>
        </is>
      </c>
      <c r="D583" s="1" t="n">
        <v>45537</v>
      </c>
      <c r="E583" s="1" t="n">
        <v>46221</v>
      </c>
      <c r="F583" t="inlineStr">
        <is>
          <t>KALMAR LÄN</t>
        </is>
      </c>
      <c r="G583" t="inlineStr">
        <is>
          <t>HULTSFRED</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60525-2021</t>
        </is>
      </c>
      <c r="B584" t="inlineStr">
        <is>
          <t>avverkningsanmälan</t>
        </is>
      </c>
      <c r="C584" t="inlineStr">
        <is>
          <t>Föryngringsavverkning</t>
        </is>
      </c>
      <c r="D584" s="1" t="n">
        <v>44496</v>
      </c>
      <c r="E584" s="1" t="n">
        <v>46221</v>
      </c>
      <c r="F584" t="inlineStr">
        <is>
          <t>KALMAR LÄN</t>
        </is>
      </c>
      <c r="G584" t="inlineStr">
        <is>
          <t>HULTSFRED</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5584-2025</t>
        </is>
      </c>
      <c r="B585" t="inlineStr">
        <is>
          <t>avverkningsanmälan</t>
        </is>
      </c>
      <c r="C585" t="inlineStr">
        <is>
          <t>Föryngringsavverkning</t>
        </is>
      </c>
      <c r="D585" s="1" t="n">
        <v>45693</v>
      </c>
      <c r="E585" s="1" t="n">
        <v>46221</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5587-2025</t>
        </is>
      </c>
      <c r="B586" t="inlineStr">
        <is>
          <t>avverkningsanmälan</t>
        </is>
      </c>
      <c r="C586" t="inlineStr">
        <is>
          <t>Föryngringsavverkning</t>
        </is>
      </c>
      <c r="D586" s="1" t="n">
        <v>45693</v>
      </c>
      <c r="E586" s="1" t="n">
        <v>46221</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52886-2024</t>
        </is>
      </c>
      <c r="B587" t="inlineStr">
        <is>
          <t>avverkningsanmälan</t>
        </is>
      </c>
      <c r="C587" t="inlineStr">
        <is>
          <t>Föryngringsavverkning</t>
        </is>
      </c>
      <c r="D587" s="1" t="n">
        <v>45610</v>
      </c>
      <c r="E587" s="1" t="n">
        <v>46221</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23852-2024</t>
        </is>
      </c>
      <c r="B588" t="inlineStr">
        <is>
          <t>avverkningsanmälan</t>
        </is>
      </c>
      <c r="C588" t="inlineStr">
        <is>
          <t>Föryngringsavverkning</t>
        </is>
      </c>
      <c r="D588" s="1" t="n">
        <v>45455</v>
      </c>
      <c r="E588" s="1" t="n">
        <v>46221</v>
      </c>
      <c r="F588" t="inlineStr">
        <is>
          <t>KALMAR LÄN</t>
        </is>
      </c>
      <c r="G588" t="inlineStr">
        <is>
          <t>HULTSFRED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27972-2026</t>
        </is>
      </c>
      <c r="B589" t="inlineStr">
        <is>
          <t>avverkningsanmälan</t>
        </is>
      </c>
      <c r="C589" t="inlineStr">
        <is>
          <t>Föryngringsavverkning</t>
        </is>
      </c>
      <c r="D589" s="1" t="n">
        <v>46195</v>
      </c>
      <c r="E589" s="1" t="n">
        <v>46221</v>
      </c>
      <c r="F589" t="inlineStr">
        <is>
          <t>KALMAR LÄN</t>
        </is>
      </c>
      <c r="G589" t="inlineStr">
        <is>
          <t>HULTSFRED</t>
        </is>
      </c>
      <c r="H589" t="inlineStr">
        <is>
          <t>Kyrkan</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27977-2026</t>
        </is>
      </c>
      <c r="B590" t="inlineStr">
        <is>
          <t>avverkningsanmälan</t>
        </is>
      </c>
      <c r="C590" t="inlineStr">
        <is>
          <t>Föryngringsavverkning</t>
        </is>
      </c>
      <c r="D590" s="1" t="n">
        <v>46195</v>
      </c>
      <c r="E590" s="1" t="n">
        <v>46221</v>
      </c>
      <c r="F590" t="inlineStr">
        <is>
          <t>KALMAR LÄN</t>
        </is>
      </c>
      <c r="G590" t="inlineStr">
        <is>
          <t>HULTSFRED</t>
        </is>
      </c>
      <c r="H590" t="inlineStr">
        <is>
          <t>Kyrkan</t>
        </is>
      </c>
      <c r="I590" t="n">
        <v>7.1</v>
      </c>
      <c r="J590" t="n">
        <v>0</v>
      </c>
      <c r="K590" t="n">
        <v>0</v>
      </c>
      <c r="L590" t="n">
        <v>0</v>
      </c>
      <c r="M590" t="n">
        <v>0</v>
      </c>
      <c r="N590" t="n">
        <v>0</v>
      </c>
      <c r="O590" t="n">
        <v>0</v>
      </c>
      <c r="P590" t="n">
        <v>0</v>
      </c>
      <c r="Q590" t="n">
        <v>0</v>
      </c>
      <c r="R590" t="n">
        <v>0</v>
      </c>
      <c r="S590" t="n">
        <v>0</v>
      </c>
      <c r="T590" t="n">
        <v>0</v>
      </c>
      <c r="U590" s="2" t="inlineStr"/>
    </row>
    <row r="591" ht="15" customHeight="1">
      <c r="A591" t="inlineStr">
        <is>
          <t>A 4659-2024</t>
        </is>
      </c>
      <c r="B591" t="inlineStr">
        <is>
          <t>avverkningsanmälan</t>
        </is>
      </c>
      <c r="C591" t="inlineStr">
        <is>
          <t>Föryngringsavverkning</t>
        </is>
      </c>
      <c r="D591" s="1" t="n">
        <v>45328</v>
      </c>
      <c r="E591" s="1" t="n">
        <v>46221</v>
      </c>
      <c r="F591" t="inlineStr">
        <is>
          <t>KALMAR LÄN</t>
        </is>
      </c>
      <c r="G591" t="inlineStr">
        <is>
          <t>HULTSFRED</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28288-2026</t>
        </is>
      </c>
      <c r="B592" t="inlineStr">
        <is>
          <t>avverkningsanmälan</t>
        </is>
      </c>
      <c r="C592" t="inlineStr">
        <is>
          <t>Föryngringsavverkning</t>
        </is>
      </c>
      <c r="D592" s="1" t="n">
        <v>46196</v>
      </c>
      <c r="E592" s="1" t="n">
        <v>46221</v>
      </c>
      <c r="F592" t="inlineStr">
        <is>
          <t>KALMAR LÄN</t>
        </is>
      </c>
      <c r="G592" t="inlineStr">
        <is>
          <t>HULTSFRED</t>
        </is>
      </c>
      <c r="I592" t="n">
        <v>6.2</v>
      </c>
      <c r="J592" t="n">
        <v>0</v>
      </c>
      <c r="K592" t="n">
        <v>0</v>
      </c>
      <c r="L592" t="n">
        <v>0</v>
      </c>
      <c r="M592" t="n">
        <v>0</v>
      </c>
      <c r="N592" t="n">
        <v>0</v>
      </c>
      <c r="O592" t="n">
        <v>0</v>
      </c>
      <c r="P592" t="n">
        <v>0</v>
      </c>
      <c r="Q592" t="n">
        <v>0</v>
      </c>
      <c r="R592" t="n">
        <v>0</v>
      </c>
      <c r="S592" t="n">
        <v>0</v>
      </c>
      <c r="T592" t="n">
        <v>0</v>
      </c>
      <c r="U592" s="2" t="inlineStr"/>
    </row>
    <row r="593" ht="15" customHeight="1">
      <c r="A593" t="inlineStr">
        <is>
          <t>A 28290-2026</t>
        </is>
      </c>
      <c r="B593" t="inlineStr">
        <is>
          <t>avverkningsanmälan</t>
        </is>
      </c>
      <c r="C593" t="inlineStr">
        <is>
          <t>Föryngringsavverkning</t>
        </is>
      </c>
      <c r="D593" s="1" t="n">
        <v>46196</v>
      </c>
      <c r="E593" s="1" t="n">
        <v>46221</v>
      </c>
      <c r="F593" t="inlineStr">
        <is>
          <t>KALMAR LÄN</t>
        </is>
      </c>
      <c r="G593" t="inlineStr">
        <is>
          <t>HULTSFRED</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70600-2021</t>
        </is>
      </c>
      <c r="B594" t="inlineStr">
        <is>
          <t>avverkningsanmälan</t>
        </is>
      </c>
      <c r="C594" t="inlineStr">
        <is>
          <t>Föryngringsavverkning</t>
        </is>
      </c>
      <c r="D594" s="1" t="n">
        <v>44537</v>
      </c>
      <c r="E594" s="1" t="n">
        <v>46221</v>
      </c>
      <c r="F594" t="inlineStr">
        <is>
          <t>KALMAR LÄN</t>
        </is>
      </c>
      <c r="G594" t="inlineStr">
        <is>
          <t>HULTSFRED</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40009-2023</t>
        </is>
      </c>
      <c r="B595" t="inlineStr">
        <is>
          <t>avverkningsanmälan</t>
        </is>
      </c>
      <c r="C595" t="inlineStr">
        <is>
          <t>Föryngringsavverkning</t>
        </is>
      </c>
      <c r="D595" s="1" t="n">
        <v>45168</v>
      </c>
      <c r="E595" s="1" t="n">
        <v>46221</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50269-2023</t>
        </is>
      </c>
      <c r="B596" t="inlineStr">
        <is>
          <t>avverkningsanmälan</t>
        </is>
      </c>
      <c r="C596" t="inlineStr">
        <is>
          <t>Föryngringsavverkning</t>
        </is>
      </c>
      <c r="D596" s="1" t="n">
        <v>45209</v>
      </c>
      <c r="E596" s="1" t="n">
        <v>46221</v>
      </c>
      <c r="F596" t="inlineStr">
        <is>
          <t>KALMAR LÄN</t>
        </is>
      </c>
      <c r="G596" t="inlineStr">
        <is>
          <t>HULTSFRED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22234-2026</t>
        </is>
      </c>
      <c r="B597" t="inlineStr">
        <is>
          <t>avverkningsanmälan</t>
        </is>
      </c>
      <c r="C597" t="inlineStr">
        <is>
          <t>Föryngringsavverkning</t>
        </is>
      </c>
      <c r="D597" s="1" t="n">
        <v>46153</v>
      </c>
      <c r="E597" s="1" t="n">
        <v>46221</v>
      </c>
      <c r="F597" t="inlineStr">
        <is>
          <t>KALMAR LÄN</t>
        </is>
      </c>
      <c r="G597" t="inlineStr">
        <is>
          <t>HULTSFRED</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28238-2024</t>
        </is>
      </c>
      <c r="B598" t="inlineStr">
        <is>
          <t>avverkningsanmälan</t>
        </is>
      </c>
      <c r="C598" t="inlineStr">
        <is>
          <t>Föryngringsavverkning</t>
        </is>
      </c>
      <c r="D598" s="1" t="n">
        <v>45477</v>
      </c>
      <c r="E598" s="1" t="n">
        <v>46221</v>
      </c>
      <c r="F598" t="inlineStr">
        <is>
          <t>KALMAR LÄN</t>
        </is>
      </c>
      <c r="G598" t="inlineStr">
        <is>
          <t>HULTSFRED</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22232-2026</t>
        </is>
      </c>
      <c r="B599" t="inlineStr">
        <is>
          <t>avverkningsanmälan</t>
        </is>
      </c>
      <c r="C599" t="inlineStr">
        <is>
          <t>Föryngringsavverkning</t>
        </is>
      </c>
      <c r="D599" s="1" t="n">
        <v>46153</v>
      </c>
      <c r="E599" s="1" t="n">
        <v>46221</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16985-2024</t>
        </is>
      </c>
      <c r="B600" t="inlineStr">
        <is>
          <t>avverkningsanmälan</t>
        </is>
      </c>
      <c r="C600" t="inlineStr">
        <is>
          <t>Föryngringsavverkning</t>
        </is>
      </c>
      <c r="D600" s="1" t="n">
        <v>45412</v>
      </c>
      <c r="E600" s="1" t="n">
        <v>46221</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17131-2024</t>
        </is>
      </c>
      <c r="B601" t="inlineStr">
        <is>
          <t>avverkningsanmälan</t>
        </is>
      </c>
      <c r="C601" t="inlineStr">
        <is>
          <t>Föryngringsavverkning</t>
        </is>
      </c>
      <c r="D601" s="1" t="n">
        <v>45412</v>
      </c>
      <c r="E601" s="1" t="n">
        <v>46221</v>
      </c>
      <c r="F601" t="inlineStr">
        <is>
          <t>KALMAR LÄN</t>
        </is>
      </c>
      <c r="G601" t="inlineStr">
        <is>
          <t>HULTSFRED</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34289-2024</t>
        </is>
      </c>
      <c r="B602" t="inlineStr">
        <is>
          <t>avverkningsanmälan</t>
        </is>
      </c>
      <c r="C602" t="inlineStr">
        <is>
          <t>Föryngringsavverkning</t>
        </is>
      </c>
      <c r="D602" s="1" t="n">
        <v>45524</v>
      </c>
      <c r="E602" s="1" t="n">
        <v>46221</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5002-2025</t>
        </is>
      </c>
      <c r="B603" t="inlineStr">
        <is>
          <t>avverkningsanmälan</t>
        </is>
      </c>
      <c r="C603" t="inlineStr">
        <is>
          <t>Föryngringsavverkning</t>
        </is>
      </c>
      <c r="D603" s="1" t="n">
        <v>45691</v>
      </c>
      <c r="E603" s="1" t="n">
        <v>46221</v>
      </c>
      <c r="F603" t="inlineStr">
        <is>
          <t>KALMAR LÄN</t>
        </is>
      </c>
      <c r="G603" t="inlineStr">
        <is>
          <t>HULTSFRED</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41187-2024</t>
        </is>
      </c>
      <c r="B604" t="inlineStr">
        <is>
          <t>avverkningsanmälan</t>
        </is>
      </c>
      <c r="C604" t="inlineStr">
        <is>
          <t>Avverkning för annat ändamål</t>
        </is>
      </c>
      <c r="D604" s="1" t="n">
        <v>45559</v>
      </c>
      <c r="E604" s="1" t="n">
        <v>46221</v>
      </c>
      <c r="F604" t="inlineStr">
        <is>
          <t>KALMAR LÄN</t>
        </is>
      </c>
      <c r="G604" t="inlineStr">
        <is>
          <t>HULTSFRED</t>
        </is>
      </c>
      <c r="I604" t="n">
        <v>0.4</v>
      </c>
      <c r="J604" t="n">
        <v>0</v>
      </c>
      <c r="K604" t="n">
        <v>0</v>
      </c>
      <c r="L604" t="n">
        <v>0</v>
      </c>
      <c r="M604" t="n">
        <v>0</v>
      </c>
      <c r="N604" t="n">
        <v>0</v>
      </c>
      <c r="O604" t="n">
        <v>0</v>
      </c>
      <c r="P604" t="n">
        <v>0</v>
      </c>
      <c r="Q604" t="n">
        <v>0</v>
      </c>
      <c r="R604" t="n">
        <v>0</v>
      </c>
      <c r="S604" t="n">
        <v>0</v>
      </c>
      <c r="T604" t="n">
        <v>0</v>
      </c>
      <c r="U604" s="2" t="inlineStr"/>
    </row>
    <row r="605" ht="15" customHeight="1">
      <c r="A605" t="inlineStr">
        <is>
          <t>A 57707-2021</t>
        </is>
      </c>
      <c r="B605" t="inlineStr">
        <is>
          <t>avverkningsanmälan</t>
        </is>
      </c>
      <c r="C605" t="inlineStr">
        <is>
          <t>Föryngringsavverkning</t>
        </is>
      </c>
      <c r="D605" s="1" t="n">
        <v>44484</v>
      </c>
      <c r="E605" s="1" t="n">
        <v>46221</v>
      </c>
      <c r="F605" t="inlineStr">
        <is>
          <t>KALMAR LÄN</t>
        </is>
      </c>
      <c r="G605" t="inlineStr">
        <is>
          <t>HULTSFRED</t>
        </is>
      </c>
      <c r="H605" t="inlineStr">
        <is>
          <t>Kyrkan</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14094-2022</t>
        </is>
      </c>
      <c r="B606" t="inlineStr">
        <is>
          <t>avverkningsanmälan</t>
        </is>
      </c>
      <c r="C606" t="inlineStr">
        <is>
          <t>Föryngringsavverkning</t>
        </is>
      </c>
      <c r="D606" s="1" t="n">
        <v>44651</v>
      </c>
      <c r="E606" s="1" t="n">
        <v>46221</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26437-2023</t>
        </is>
      </c>
      <c r="B607" t="inlineStr">
        <is>
          <t>avverkningsanmälan</t>
        </is>
      </c>
      <c r="C607" t="inlineStr">
        <is>
          <t>Föryngringsavverkning</t>
        </is>
      </c>
      <c r="D607" s="1" t="n">
        <v>45092</v>
      </c>
      <c r="E607" s="1" t="n">
        <v>46221</v>
      </c>
      <c r="F607" t="inlineStr">
        <is>
          <t>KALMAR LÄN</t>
        </is>
      </c>
      <c r="G607" t="inlineStr">
        <is>
          <t>HULTSFRED</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43633-2023</t>
        </is>
      </c>
      <c r="B608" t="inlineStr">
        <is>
          <t>avverkningsanmälan</t>
        </is>
      </c>
      <c r="C608" t="inlineStr">
        <is>
          <t>Föryngringsavverkning</t>
        </is>
      </c>
      <c r="D608" s="1" t="n">
        <v>45185</v>
      </c>
      <c r="E608" s="1" t="n">
        <v>46221</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40865-2022</t>
        </is>
      </c>
      <c r="B609" t="inlineStr">
        <is>
          <t>avverkningsanmälan</t>
        </is>
      </c>
      <c r="C609" t="inlineStr">
        <is>
          <t>Föryngringsavverkning</t>
        </is>
      </c>
      <c r="D609" s="1" t="n">
        <v>44825</v>
      </c>
      <c r="E609" s="1" t="n">
        <v>46221</v>
      </c>
      <c r="F609" t="inlineStr">
        <is>
          <t>KALMAR LÄN</t>
        </is>
      </c>
      <c r="G609" t="inlineStr">
        <is>
          <t>HULTSFRED</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62044-2025</t>
        </is>
      </c>
      <c r="B610" t="inlineStr">
        <is>
          <t>avverkningsanmälan</t>
        </is>
      </c>
      <c r="C610" t="inlineStr">
        <is>
          <t>Föryngringsavverkning</t>
        </is>
      </c>
      <c r="D610" s="1" t="n">
        <v>46005</v>
      </c>
      <c r="E610" s="1" t="n">
        <v>46221</v>
      </c>
      <c r="F610" t="inlineStr">
        <is>
          <t>KALMAR LÄN</t>
        </is>
      </c>
      <c r="G610" t="inlineStr">
        <is>
          <t>HULTSFRED</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62361-2021</t>
        </is>
      </c>
      <c r="B611" t="inlineStr">
        <is>
          <t>avverkningsanmälan</t>
        </is>
      </c>
      <c r="C611" t="inlineStr">
        <is>
          <t>Föryngringsavverkning</t>
        </is>
      </c>
      <c r="D611" s="1" t="n">
        <v>44502</v>
      </c>
      <c r="E611" s="1" t="n">
        <v>46221</v>
      </c>
      <c r="F611" t="inlineStr">
        <is>
          <t>KALMAR LÄN</t>
        </is>
      </c>
      <c r="G611" t="inlineStr">
        <is>
          <t>HULTSFRED</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35721-2023</t>
        </is>
      </c>
      <c r="B612" t="inlineStr">
        <is>
          <t>avverkningsanmälan</t>
        </is>
      </c>
      <c r="C612" t="inlineStr">
        <is>
          <t>Föryngringsavverkning</t>
        </is>
      </c>
      <c r="D612" s="1" t="n">
        <v>45147</v>
      </c>
      <c r="E612" s="1" t="n">
        <v>46221</v>
      </c>
      <c r="F612" t="inlineStr">
        <is>
          <t>KALMAR LÄN</t>
        </is>
      </c>
      <c r="G612" t="inlineStr">
        <is>
          <t>HULTSFRED</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58825-2022</t>
        </is>
      </c>
      <c r="B613" t="inlineStr">
        <is>
          <t>avverkningsanmälan</t>
        </is>
      </c>
      <c r="C613" t="inlineStr">
        <is>
          <t>Föryngringsavverkning</t>
        </is>
      </c>
      <c r="D613" s="1" t="n">
        <v>44903</v>
      </c>
      <c r="E613" s="1" t="n">
        <v>46221</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15270-2025</t>
        </is>
      </c>
      <c r="B614" t="inlineStr">
        <is>
          <t>avverkningsanmälan</t>
        </is>
      </c>
      <c r="C614" t="inlineStr">
        <is>
          <t>Föryngringsavverkning</t>
        </is>
      </c>
      <c r="D614" s="1" t="n">
        <v>45744</v>
      </c>
      <c r="E614" s="1" t="n">
        <v>46221</v>
      </c>
      <c r="F614" t="inlineStr">
        <is>
          <t>KALMAR LÄN</t>
        </is>
      </c>
      <c r="G614" t="inlineStr">
        <is>
          <t>HULTSFRED</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36663-2023</t>
        </is>
      </c>
      <c r="B615" t="inlineStr">
        <is>
          <t>avverkningsanmälan</t>
        </is>
      </c>
      <c r="C615" t="inlineStr">
        <is>
          <t>Föryngringsavverkning</t>
        </is>
      </c>
      <c r="D615" s="1" t="n">
        <v>45153</v>
      </c>
      <c r="E615" s="1" t="n">
        <v>46221</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36692-2023</t>
        </is>
      </c>
      <c r="B616" t="inlineStr">
        <is>
          <t>avverkningsanmälan</t>
        </is>
      </c>
      <c r="C616" t="inlineStr">
        <is>
          <t>Föryngringsavverkning</t>
        </is>
      </c>
      <c r="D616" s="1" t="n">
        <v>45153</v>
      </c>
      <c r="E616" s="1" t="n">
        <v>46221</v>
      </c>
      <c r="F616" t="inlineStr">
        <is>
          <t>KALMAR LÄN</t>
        </is>
      </c>
      <c r="G616" t="inlineStr">
        <is>
          <t>HULTSFRED</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11235-2023</t>
        </is>
      </c>
      <c r="B617" t="inlineStr">
        <is>
          <t>avverkningsanmälan</t>
        </is>
      </c>
      <c r="C617" t="inlineStr">
        <is>
          <t>Föryngringsavverkning</t>
        </is>
      </c>
      <c r="D617" s="1" t="n">
        <v>44992</v>
      </c>
      <c r="E617" s="1" t="n">
        <v>46221</v>
      </c>
      <c r="F617" t="inlineStr">
        <is>
          <t>KALMAR LÄN</t>
        </is>
      </c>
      <c r="G617" t="inlineStr">
        <is>
          <t>HULTSFRED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31812-2025</t>
        </is>
      </c>
      <c r="B618" t="inlineStr">
        <is>
          <t>avverkningsanmälan</t>
        </is>
      </c>
      <c r="C618" t="inlineStr">
        <is>
          <t>Föryngringsavverkning</t>
        </is>
      </c>
      <c r="D618" s="1" t="n">
        <v>45834</v>
      </c>
      <c r="E618" s="1" t="n">
        <v>46221</v>
      </c>
      <c r="F618" t="inlineStr">
        <is>
          <t>KALMAR LÄN</t>
        </is>
      </c>
      <c r="G618" t="inlineStr">
        <is>
          <t>HULTSFRED</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40792-2022</t>
        </is>
      </c>
      <c r="B619" t="inlineStr">
        <is>
          <t>avverkningsanmälan</t>
        </is>
      </c>
      <c r="C619" t="inlineStr">
        <is>
          <t>Föryngringsavverkning</t>
        </is>
      </c>
      <c r="D619" s="1" t="n">
        <v>44824</v>
      </c>
      <c r="E619" s="1" t="n">
        <v>46221</v>
      </c>
      <c r="F619" t="inlineStr">
        <is>
          <t>KALMAR LÄN</t>
        </is>
      </c>
      <c r="G619" t="inlineStr">
        <is>
          <t>HULTSFRED</t>
        </is>
      </c>
      <c r="I619" t="n">
        <v>5.1</v>
      </c>
      <c r="J619" t="n">
        <v>0</v>
      </c>
      <c r="K619" t="n">
        <v>0</v>
      </c>
      <c r="L619" t="n">
        <v>0</v>
      </c>
      <c r="M619" t="n">
        <v>0</v>
      </c>
      <c r="N619" t="n">
        <v>0</v>
      </c>
      <c r="O619" t="n">
        <v>0</v>
      </c>
      <c r="P619" t="n">
        <v>0</v>
      </c>
      <c r="Q619" t="n">
        <v>0</v>
      </c>
      <c r="R619" t="n">
        <v>0</v>
      </c>
      <c r="S619" t="n">
        <v>0</v>
      </c>
      <c r="T619" t="n">
        <v>0</v>
      </c>
      <c r="U619" s="2" t="inlineStr"/>
    </row>
    <row r="620" ht="15" customHeight="1">
      <c r="A620" t="inlineStr">
        <is>
          <t>A 17058-2024</t>
        </is>
      </c>
      <c r="B620" t="inlineStr">
        <is>
          <t>avverkningsanmälan</t>
        </is>
      </c>
      <c r="C620" t="inlineStr">
        <is>
          <t>Föryngringsavverkning</t>
        </is>
      </c>
      <c r="D620" s="1" t="n">
        <v>45412</v>
      </c>
      <c r="E620" s="1" t="n">
        <v>46221</v>
      </c>
      <c r="F620" t="inlineStr">
        <is>
          <t>KALMAR LÄN</t>
        </is>
      </c>
      <c r="G620" t="inlineStr">
        <is>
          <t>HULTSFRED</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9589-2024</t>
        </is>
      </c>
      <c r="B621" t="inlineStr">
        <is>
          <t>avverkningsanmälan</t>
        </is>
      </c>
      <c r="C621" t="inlineStr">
        <is>
          <t>Föryngringsavverkning</t>
        </is>
      </c>
      <c r="D621" s="1" t="n">
        <v>45360</v>
      </c>
      <c r="E621" s="1" t="n">
        <v>46221</v>
      </c>
      <c r="F621" t="inlineStr">
        <is>
          <t>KALMAR LÄN</t>
        </is>
      </c>
      <c r="G621" t="inlineStr">
        <is>
          <t>HULTSFRED</t>
        </is>
      </c>
      <c r="H621" t="inlineStr">
        <is>
          <t>Sveaskog</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61211-2021</t>
        </is>
      </c>
      <c r="B622" t="inlineStr">
        <is>
          <t>avverkningsanmälan</t>
        </is>
      </c>
      <c r="C622" t="inlineStr">
        <is>
          <t>Föryngringsavverkning</t>
        </is>
      </c>
      <c r="D622" s="1" t="n">
        <v>44498</v>
      </c>
      <c r="E622" s="1" t="n">
        <v>46221</v>
      </c>
      <c r="F622" t="inlineStr">
        <is>
          <t>KALMAR LÄN</t>
        </is>
      </c>
      <c r="G622" t="inlineStr">
        <is>
          <t>HULTSFRED</t>
        </is>
      </c>
      <c r="I622" t="n">
        <v>5.4</v>
      </c>
      <c r="J622" t="n">
        <v>0</v>
      </c>
      <c r="K622" t="n">
        <v>0</v>
      </c>
      <c r="L622" t="n">
        <v>0</v>
      </c>
      <c r="M622" t="n">
        <v>0</v>
      </c>
      <c r="N622" t="n">
        <v>0</v>
      </c>
      <c r="O622" t="n">
        <v>0</v>
      </c>
      <c r="P622" t="n">
        <v>0</v>
      </c>
      <c r="Q622" t="n">
        <v>0</v>
      </c>
      <c r="R622" t="n">
        <v>0</v>
      </c>
      <c r="S622" t="n">
        <v>0</v>
      </c>
      <c r="T622" t="n">
        <v>0</v>
      </c>
      <c r="U622" s="2" t="inlineStr"/>
    </row>
    <row r="623" ht="15" customHeight="1">
      <c r="A623" t="inlineStr">
        <is>
          <t>A 8807-2024</t>
        </is>
      </c>
      <c r="B623" t="inlineStr">
        <is>
          <t>avverkningsanmälan</t>
        </is>
      </c>
      <c r="C623" t="inlineStr">
        <is>
          <t>Föryngringsavverkning</t>
        </is>
      </c>
      <c r="D623" s="1" t="n">
        <v>45355</v>
      </c>
      <c r="E623" s="1" t="n">
        <v>46221</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44188-2024</t>
        </is>
      </c>
      <c r="B624" t="inlineStr">
        <is>
          <t>avverkningsanmälan</t>
        </is>
      </c>
      <c r="C624" t="inlineStr">
        <is>
          <t>Föryngringsavverkning</t>
        </is>
      </c>
      <c r="D624" s="1" t="n">
        <v>45573</v>
      </c>
      <c r="E624" s="1" t="n">
        <v>46221</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55396-2022</t>
        </is>
      </c>
      <c r="B625" t="inlineStr">
        <is>
          <t>avverkningsanmälan</t>
        </is>
      </c>
      <c r="C625" t="inlineStr">
        <is>
          <t>Föryngringsavverkning</t>
        </is>
      </c>
      <c r="D625" s="1" t="n">
        <v>44882</v>
      </c>
      <c r="E625" s="1" t="n">
        <v>46221</v>
      </c>
      <c r="F625" t="inlineStr">
        <is>
          <t>KALMAR LÄN</t>
        </is>
      </c>
      <c r="G625" t="inlineStr">
        <is>
          <t>HULTSFRED</t>
        </is>
      </c>
      <c r="I625" t="n">
        <v>5.4</v>
      </c>
      <c r="J625" t="n">
        <v>0</v>
      </c>
      <c r="K625" t="n">
        <v>0</v>
      </c>
      <c r="L625" t="n">
        <v>0</v>
      </c>
      <c r="M625" t="n">
        <v>0</v>
      </c>
      <c r="N625" t="n">
        <v>0</v>
      </c>
      <c r="O625" t="n">
        <v>0</v>
      </c>
      <c r="P625" t="n">
        <v>0</v>
      </c>
      <c r="Q625" t="n">
        <v>0</v>
      </c>
      <c r="R625" t="n">
        <v>0</v>
      </c>
      <c r="S625" t="n">
        <v>0</v>
      </c>
      <c r="T625" t="n">
        <v>0</v>
      </c>
      <c r="U625" s="2" t="inlineStr"/>
    </row>
    <row r="626" ht="15" customHeight="1">
      <c r="A626" t="inlineStr">
        <is>
          <t>A 18321-2023</t>
        </is>
      </c>
      <c r="B626" t="inlineStr">
        <is>
          <t>avverkningsanmälan</t>
        </is>
      </c>
      <c r="C626" t="inlineStr">
        <is>
          <t>Föryngringsavverkning</t>
        </is>
      </c>
      <c r="D626" s="1" t="n">
        <v>45041</v>
      </c>
      <c r="E626" s="1" t="n">
        <v>46221</v>
      </c>
      <c r="F626" t="inlineStr">
        <is>
          <t>KALMAR LÄN</t>
        </is>
      </c>
      <c r="G626" t="inlineStr">
        <is>
          <t>HULTSFRED</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5993-2025</t>
        </is>
      </c>
      <c r="B627" t="inlineStr">
        <is>
          <t>avverkningsanmälan</t>
        </is>
      </c>
      <c r="C627" t="inlineStr">
        <is>
          <t>Föryngringsavverkning</t>
        </is>
      </c>
      <c r="D627" s="1" t="n">
        <v>45695</v>
      </c>
      <c r="E627" s="1" t="n">
        <v>46221</v>
      </c>
      <c r="F627" t="inlineStr">
        <is>
          <t>KALMAR LÄN</t>
        </is>
      </c>
      <c r="G627" t="inlineStr">
        <is>
          <t>HULTSFRED</t>
        </is>
      </c>
      <c r="H627" t="inlineStr">
        <is>
          <t>Sveaskog</t>
        </is>
      </c>
      <c r="I627" t="n">
        <v>3.1</v>
      </c>
      <c r="J627" t="n">
        <v>0</v>
      </c>
      <c r="K627" t="n">
        <v>0</v>
      </c>
      <c r="L627" t="n">
        <v>0</v>
      </c>
      <c r="M627" t="n">
        <v>0</v>
      </c>
      <c r="N627" t="n">
        <v>0</v>
      </c>
      <c r="O627" t="n">
        <v>0</v>
      </c>
      <c r="P627" t="n">
        <v>0</v>
      </c>
      <c r="Q627" t="n">
        <v>0</v>
      </c>
      <c r="R627" t="n">
        <v>0</v>
      </c>
      <c r="S627" t="n">
        <v>0</v>
      </c>
      <c r="T627" t="n">
        <v>0</v>
      </c>
      <c r="U627" s="2" t="inlineStr"/>
    </row>
    <row r="628" ht="15" customHeight="1">
      <c r="A628" t="inlineStr">
        <is>
          <t>A 56944-2021</t>
        </is>
      </c>
      <c r="B628" t="inlineStr">
        <is>
          <t>avverkningsanmälan</t>
        </is>
      </c>
      <c r="C628" t="inlineStr">
        <is>
          <t>Föryngringsavverkning</t>
        </is>
      </c>
      <c r="D628" s="1" t="n">
        <v>44482</v>
      </c>
      <c r="E628" s="1" t="n">
        <v>46221</v>
      </c>
      <c r="F628" t="inlineStr">
        <is>
          <t>KALMAR LÄN</t>
        </is>
      </c>
      <c r="G628" t="inlineStr">
        <is>
          <t>HULTSFRED</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51243-2022</t>
        </is>
      </c>
      <c r="B629" t="inlineStr">
        <is>
          <t>avverkningsanmälan</t>
        </is>
      </c>
      <c r="C629" t="inlineStr">
        <is>
          <t>Föryngringsavverkning</t>
        </is>
      </c>
      <c r="D629" s="1" t="n">
        <v>44868</v>
      </c>
      <c r="E629" s="1" t="n">
        <v>46221</v>
      </c>
      <c r="F629" t="inlineStr">
        <is>
          <t>KALMAR LÄN</t>
        </is>
      </c>
      <c r="G629" t="inlineStr">
        <is>
          <t>HULTSFRED</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11703-2023</t>
        </is>
      </c>
      <c r="B630" t="inlineStr">
        <is>
          <t>avverkningsanmälan</t>
        </is>
      </c>
      <c r="C630" t="inlineStr">
        <is>
          <t>Föryngringsavverkning</t>
        </is>
      </c>
      <c r="D630" s="1" t="n">
        <v>44994</v>
      </c>
      <c r="E630" s="1" t="n">
        <v>46221</v>
      </c>
      <c r="F630" t="inlineStr">
        <is>
          <t>KALMAR LÄN</t>
        </is>
      </c>
      <c r="G630" t="inlineStr">
        <is>
          <t>HULTSFRED</t>
        </is>
      </c>
      <c r="I630" t="n">
        <v>6.2</v>
      </c>
      <c r="J630" t="n">
        <v>0</v>
      </c>
      <c r="K630" t="n">
        <v>0</v>
      </c>
      <c r="L630" t="n">
        <v>0</v>
      </c>
      <c r="M630" t="n">
        <v>0</v>
      </c>
      <c r="N630" t="n">
        <v>0</v>
      </c>
      <c r="O630" t="n">
        <v>0</v>
      </c>
      <c r="P630" t="n">
        <v>0</v>
      </c>
      <c r="Q630" t="n">
        <v>0</v>
      </c>
      <c r="R630" t="n">
        <v>0</v>
      </c>
      <c r="S630" t="n">
        <v>0</v>
      </c>
      <c r="T630" t="n">
        <v>0</v>
      </c>
      <c r="U630" s="2" t="inlineStr"/>
    </row>
    <row r="631" ht="15" customHeight="1">
      <c r="A631" t="inlineStr">
        <is>
          <t>A 53990-2022</t>
        </is>
      </c>
      <c r="B631" t="inlineStr">
        <is>
          <t>avverkningsanmälan</t>
        </is>
      </c>
      <c r="C631" t="inlineStr">
        <is>
          <t>Föryngringsavverkning</t>
        </is>
      </c>
      <c r="D631" s="1" t="n">
        <v>44881</v>
      </c>
      <c r="E631" s="1" t="n">
        <v>46221</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23301-2026</t>
        </is>
      </c>
      <c r="B632" t="inlineStr">
        <is>
          <t>avverkningsanmälan</t>
        </is>
      </c>
      <c r="C632" t="inlineStr">
        <is>
          <t>Föryngringsavverkning</t>
        </is>
      </c>
      <c r="D632" s="1" t="n">
        <v>46162</v>
      </c>
      <c r="E632" s="1" t="n">
        <v>46221</v>
      </c>
      <c r="F632" t="inlineStr">
        <is>
          <t>KALMAR LÄN</t>
        </is>
      </c>
      <c r="G632" t="inlineStr">
        <is>
          <t>HULTSFRED</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24337-2023</t>
        </is>
      </c>
      <c r="B633" t="inlineStr">
        <is>
          <t>avverkningsanmälan</t>
        </is>
      </c>
      <c r="C633" t="inlineStr">
        <is>
          <t>Föryngringsavverkning</t>
        </is>
      </c>
      <c r="D633" s="1" t="n">
        <v>45081</v>
      </c>
      <c r="E633" s="1" t="n">
        <v>46221</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6128-2023</t>
        </is>
      </c>
      <c r="B634" t="inlineStr">
        <is>
          <t>avverkningsanmälan</t>
        </is>
      </c>
      <c r="C634" t="inlineStr">
        <is>
          <t>Föryngringsavverkning</t>
        </is>
      </c>
      <c r="D634" s="1" t="n">
        <v>44964</v>
      </c>
      <c r="E634" s="1" t="n">
        <v>46221</v>
      </c>
      <c r="F634" t="inlineStr">
        <is>
          <t>KALMAR LÄN</t>
        </is>
      </c>
      <c r="G634" t="inlineStr">
        <is>
          <t>HULTSFRED</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7310-2023</t>
        </is>
      </c>
      <c r="B635" t="inlineStr">
        <is>
          <t>avverkningsanmälan</t>
        </is>
      </c>
      <c r="C635" t="inlineStr">
        <is>
          <t>Föryngringsavverkning</t>
        </is>
      </c>
      <c r="D635" s="1" t="n">
        <v>44970</v>
      </c>
      <c r="E635" s="1" t="n">
        <v>46221</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52893-2024</t>
        </is>
      </c>
      <c r="B636" t="inlineStr">
        <is>
          <t>avverkningsanmälan</t>
        </is>
      </c>
      <c r="C636" t="inlineStr">
        <is>
          <t>Föryngringsavverkning</t>
        </is>
      </c>
      <c r="D636" s="1" t="n">
        <v>45610</v>
      </c>
      <c r="E636" s="1" t="n">
        <v>46221</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28979-2024</t>
        </is>
      </c>
      <c r="B637" t="inlineStr">
        <is>
          <t>avverkningsanmälan</t>
        </is>
      </c>
      <c r="C637" t="inlineStr">
        <is>
          <t>Föryngringsavverkning</t>
        </is>
      </c>
      <c r="D637" s="1" t="n">
        <v>45481</v>
      </c>
      <c r="E637" s="1" t="n">
        <v>46221</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42434-2023</t>
        </is>
      </c>
      <c r="B638" t="inlineStr">
        <is>
          <t>avverkningsanmälan</t>
        </is>
      </c>
      <c r="C638" t="inlineStr">
        <is>
          <t>Avverkning för annat ändamål</t>
        </is>
      </c>
      <c r="D638" s="1" t="n">
        <v>45180</v>
      </c>
      <c r="E638" s="1" t="n">
        <v>46221</v>
      </c>
      <c r="F638" t="inlineStr">
        <is>
          <t>KALMAR LÄN</t>
        </is>
      </c>
      <c r="G638" t="inlineStr">
        <is>
          <t>HULTSFRED</t>
        </is>
      </c>
      <c r="H638" t="inlineStr">
        <is>
          <t>Sveaskog</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36271-2023</t>
        </is>
      </c>
      <c r="B639" t="inlineStr">
        <is>
          <t>avverkningsanmälan</t>
        </is>
      </c>
      <c r="C639" t="inlineStr">
        <is>
          <t>Föryngringsavverkning</t>
        </is>
      </c>
      <c r="D639" s="1" t="n">
        <v>45152</v>
      </c>
      <c r="E639" s="1" t="n">
        <v>46221</v>
      </c>
      <c r="F639" t="inlineStr">
        <is>
          <t>KALMAR LÄN</t>
        </is>
      </c>
      <c r="G639" t="inlineStr">
        <is>
          <t>HULTSFRED</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29046-2023</t>
        </is>
      </c>
      <c r="B640" t="inlineStr">
        <is>
          <t>avverkningsanmälan</t>
        </is>
      </c>
      <c r="C640" t="inlineStr">
        <is>
          <t>Föryngringsavverkning</t>
        </is>
      </c>
      <c r="D640" s="1" t="n">
        <v>45104</v>
      </c>
      <c r="E640" s="1" t="n">
        <v>46221</v>
      </c>
      <c r="F640" t="inlineStr">
        <is>
          <t>KALMAR LÄN</t>
        </is>
      </c>
      <c r="G640" t="inlineStr">
        <is>
          <t>HULTSFRED</t>
        </is>
      </c>
      <c r="I640" t="n">
        <v>9.199999999999999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22401-2023</t>
        </is>
      </c>
      <c r="B641" t="inlineStr">
        <is>
          <t>avverkningsanmälan</t>
        </is>
      </c>
      <c r="C641" t="inlineStr">
        <is>
          <t>Föryngringsavverkning</t>
        </is>
      </c>
      <c r="D641" s="1" t="n">
        <v>45070</v>
      </c>
      <c r="E641" s="1" t="n">
        <v>46221</v>
      </c>
      <c r="F641" t="inlineStr">
        <is>
          <t>KALMAR LÄN</t>
        </is>
      </c>
      <c r="G641" t="inlineStr">
        <is>
          <t>HULTSFRED</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29984-2026</t>
        </is>
      </c>
      <c r="B642" t="inlineStr">
        <is>
          <t>avverkningsanmälan</t>
        </is>
      </c>
      <c r="C642" t="inlineStr">
        <is>
          <t>Föryngringsavverkning</t>
        </is>
      </c>
      <c r="D642" s="1" t="n">
        <v>46205</v>
      </c>
      <c r="E642" s="1" t="n">
        <v>46221</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60678-2023</t>
        </is>
      </c>
      <c r="B643" t="inlineStr">
        <is>
          <t>avverkningsanmälan</t>
        </is>
      </c>
      <c r="C643" t="inlineStr">
        <is>
          <t>Avverkning för att bevara och utveckla /försöksver</t>
        </is>
      </c>
      <c r="D643" s="1" t="n">
        <v>45260</v>
      </c>
      <c r="E643" s="1" t="n">
        <v>46221</v>
      </c>
      <c r="F643" t="inlineStr">
        <is>
          <t>KALMAR LÄN</t>
        </is>
      </c>
      <c r="G643" t="inlineStr">
        <is>
          <t>HULTSFRED</t>
        </is>
      </c>
      <c r="H643" t="inlineStr">
        <is>
          <t>Sveaskog</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60681-2023</t>
        </is>
      </c>
      <c r="B644" t="inlineStr">
        <is>
          <t>avverkningsanmälan</t>
        </is>
      </c>
      <c r="C644" t="inlineStr">
        <is>
          <t>Föryngringsavverkning</t>
        </is>
      </c>
      <c r="D644" s="1" t="n">
        <v>45260</v>
      </c>
      <c r="E644" s="1" t="n">
        <v>46221</v>
      </c>
      <c r="F644" t="inlineStr">
        <is>
          <t>KALMAR LÄN</t>
        </is>
      </c>
      <c r="G644" t="inlineStr">
        <is>
          <t>HULTSFRED</t>
        </is>
      </c>
      <c r="H644" t="inlineStr">
        <is>
          <t>Sveaskog</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7531-2024</t>
        </is>
      </c>
      <c r="B645" t="inlineStr">
        <is>
          <t>avverkningsanmälan</t>
        </is>
      </c>
      <c r="C645" t="inlineStr">
        <is>
          <t>Föryngringsavverkning</t>
        </is>
      </c>
      <c r="D645" s="1" t="n">
        <v>45348</v>
      </c>
      <c r="E645" s="1" t="n">
        <v>46221</v>
      </c>
      <c r="F645" t="inlineStr">
        <is>
          <t>KALMAR LÄN</t>
        </is>
      </c>
      <c r="G645" t="inlineStr">
        <is>
          <t>HULTSFRED</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5989-2025</t>
        </is>
      </c>
      <c r="B646" t="inlineStr">
        <is>
          <t>avverkningsanmälan</t>
        </is>
      </c>
      <c r="C646" t="inlineStr">
        <is>
          <t>Föryngringsavverkning</t>
        </is>
      </c>
      <c r="D646" s="1" t="n">
        <v>45695</v>
      </c>
      <c r="E646" s="1" t="n">
        <v>46221</v>
      </c>
      <c r="F646" t="inlineStr">
        <is>
          <t>KALMAR LÄN</t>
        </is>
      </c>
      <c r="G646" t="inlineStr">
        <is>
          <t>HULTSFRED</t>
        </is>
      </c>
      <c r="H646" t="inlineStr">
        <is>
          <t>Sveaskog</t>
        </is>
      </c>
      <c r="I646" t="n">
        <v>5.9</v>
      </c>
      <c r="J646" t="n">
        <v>0</v>
      </c>
      <c r="K646" t="n">
        <v>0</v>
      </c>
      <c r="L646" t="n">
        <v>0</v>
      </c>
      <c r="M646" t="n">
        <v>0</v>
      </c>
      <c r="N646" t="n">
        <v>0</v>
      </c>
      <c r="O646" t="n">
        <v>0</v>
      </c>
      <c r="P646" t="n">
        <v>0</v>
      </c>
      <c r="Q646" t="n">
        <v>0</v>
      </c>
      <c r="R646" t="n">
        <v>0</v>
      </c>
      <c r="S646" t="n">
        <v>0</v>
      </c>
      <c r="T646" t="n">
        <v>0</v>
      </c>
      <c r="U646" s="2" t="inlineStr"/>
    </row>
    <row r="647" ht="15" customHeight="1">
      <c r="A647" t="inlineStr">
        <is>
          <t>A 5996-2025</t>
        </is>
      </c>
      <c r="B647" t="inlineStr">
        <is>
          <t>avverkningsanmälan</t>
        </is>
      </c>
      <c r="C647" t="inlineStr">
        <is>
          <t>Föryngringsavverkning</t>
        </is>
      </c>
      <c r="D647" s="1" t="n">
        <v>45695</v>
      </c>
      <c r="E647" s="1" t="n">
        <v>46221</v>
      </c>
      <c r="F647" t="inlineStr">
        <is>
          <t>KALMAR LÄN</t>
        </is>
      </c>
      <c r="G647" t="inlineStr">
        <is>
          <t>HULTSFRED</t>
        </is>
      </c>
      <c r="H647" t="inlineStr">
        <is>
          <t>Sveaskog</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59548-2024</t>
        </is>
      </c>
      <c r="B648" t="inlineStr">
        <is>
          <t>avverkningsanmälan</t>
        </is>
      </c>
      <c r="C648" t="inlineStr">
        <is>
          <t>Föryngringsavverkning</t>
        </is>
      </c>
      <c r="D648" s="1" t="n">
        <v>45637</v>
      </c>
      <c r="E648" s="1" t="n">
        <v>46221</v>
      </c>
      <c r="F648" t="inlineStr">
        <is>
          <t>KALMAR LÄN</t>
        </is>
      </c>
      <c r="G648" t="inlineStr">
        <is>
          <t>HULTSFRED</t>
        </is>
      </c>
      <c r="I648" t="n">
        <v>3.3</v>
      </c>
      <c r="J648" t="n">
        <v>0</v>
      </c>
      <c r="K648" t="n">
        <v>0</v>
      </c>
      <c r="L648" t="n">
        <v>0</v>
      </c>
      <c r="M648" t="n">
        <v>0</v>
      </c>
      <c r="N648" t="n">
        <v>0</v>
      </c>
      <c r="O648" t="n">
        <v>0</v>
      </c>
      <c r="P648" t="n">
        <v>0</v>
      </c>
      <c r="Q648" t="n">
        <v>0</v>
      </c>
      <c r="R648" t="n">
        <v>0</v>
      </c>
      <c r="S648" t="n">
        <v>0</v>
      </c>
      <c r="T648" t="n">
        <v>0</v>
      </c>
      <c r="U648" s="2" t="inlineStr"/>
    </row>
    <row r="649" ht="15" customHeight="1">
      <c r="A649" t="inlineStr">
        <is>
          <t>A 33886-2023</t>
        </is>
      </c>
      <c r="B649" t="inlineStr">
        <is>
          <t>avverkningsanmälan</t>
        </is>
      </c>
      <c r="C649" t="inlineStr">
        <is>
          <t>Föryngringsavverkning</t>
        </is>
      </c>
      <c r="D649" s="1" t="n">
        <v>45134</v>
      </c>
      <c r="E649" s="1" t="n">
        <v>46221</v>
      </c>
      <c r="F649" t="inlineStr">
        <is>
          <t>KALMAR LÄN</t>
        </is>
      </c>
      <c r="G649" t="inlineStr">
        <is>
          <t>HULTSFRED</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41695-2022</t>
        </is>
      </c>
      <c r="B650" t="inlineStr">
        <is>
          <t>avverkningsanmälan</t>
        </is>
      </c>
      <c r="C650" t="inlineStr">
        <is>
          <t>Föryngringsavverkning</t>
        </is>
      </c>
      <c r="D650" s="1" t="n">
        <v>44827</v>
      </c>
      <c r="E650" s="1" t="n">
        <v>46221</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10992-2024</t>
        </is>
      </c>
      <c r="B651" t="inlineStr">
        <is>
          <t>avverkningsanmälan</t>
        </is>
      </c>
      <c r="C651" t="inlineStr">
        <is>
          <t>Föryngringsavverkning</t>
        </is>
      </c>
      <c r="D651" s="1" t="n">
        <v>45370</v>
      </c>
      <c r="E651" s="1" t="n">
        <v>46221</v>
      </c>
      <c r="F651" t="inlineStr">
        <is>
          <t>KALMAR LÄN</t>
        </is>
      </c>
      <c r="G651" t="inlineStr">
        <is>
          <t>HULTSFRED</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36698-2023</t>
        </is>
      </c>
      <c r="B652" t="inlineStr">
        <is>
          <t>avverkningsanmälan</t>
        </is>
      </c>
      <c r="C652" t="inlineStr">
        <is>
          <t>Föryngringsavverkning</t>
        </is>
      </c>
      <c r="D652" s="1" t="n">
        <v>45153</v>
      </c>
      <c r="E652" s="1" t="n">
        <v>46221</v>
      </c>
      <c r="F652" t="inlineStr">
        <is>
          <t>KALMAR LÄN</t>
        </is>
      </c>
      <c r="G652" t="inlineStr">
        <is>
          <t>HULTSFRED</t>
        </is>
      </c>
      <c r="I652" t="n">
        <v>7.4</v>
      </c>
      <c r="J652" t="n">
        <v>0</v>
      </c>
      <c r="K652" t="n">
        <v>0</v>
      </c>
      <c r="L652" t="n">
        <v>0</v>
      </c>
      <c r="M652" t="n">
        <v>0</v>
      </c>
      <c r="N652" t="n">
        <v>0</v>
      </c>
      <c r="O652" t="n">
        <v>0</v>
      </c>
      <c r="P652" t="n">
        <v>0</v>
      </c>
      <c r="Q652" t="n">
        <v>0</v>
      </c>
      <c r="R652" t="n">
        <v>0</v>
      </c>
      <c r="S652" t="n">
        <v>0</v>
      </c>
      <c r="T652" t="n">
        <v>0</v>
      </c>
      <c r="U652" s="2" t="inlineStr"/>
    </row>
    <row r="653" ht="15" customHeight="1">
      <c r="A653" t="inlineStr">
        <is>
          <t>A 24330-2026</t>
        </is>
      </c>
      <c r="B653" t="inlineStr">
        <is>
          <t>avverkningsanmälan</t>
        </is>
      </c>
      <c r="C653" t="inlineStr">
        <is>
          <t>Föryngringsavverkning</t>
        </is>
      </c>
      <c r="D653" s="1" t="n">
        <v>46169</v>
      </c>
      <c r="E653" s="1" t="n">
        <v>46221</v>
      </c>
      <c r="F653" t="inlineStr">
        <is>
          <t>KALMAR LÄN</t>
        </is>
      </c>
      <c r="G653" t="inlineStr">
        <is>
          <t>HULTSFRED</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A 24332-2026</t>
        </is>
      </c>
      <c r="B654" t="inlineStr">
        <is>
          <t>avverkningsanmälan</t>
        </is>
      </c>
      <c r="C654" t="inlineStr">
        <is>
          <t>Föryngringsavverkning</t>
        </is>
      </c>
      <c r="D654" s="1" t="n">
        <v>46169</v>
      </c>
      <c r="E654" s="1" t="n">
        <v>46221</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29569-2024</t>
        </is>
      </c>
      <c r="B655" t="inlineStr">
        <is>
          <t>avverkningsanmälan</t>
        </is>
      </c>
      <c r="C655" t="inlineStr">
        <is>
          <t>Föryngringsavverkning</t>
        </is>
      </c>
      <c r="D655" s="1" t="n">
        <v>45484</v>
      </c>
      <c r="E655" s="1" t="n">
        <v>46221</v>
      </c>
      <c r="F655" t="inlineStr">
        <is>
          <t>KALMAR LÄN</t>
        </is>
      </c>
      <c r="G655" t="inlineStr">
        <is>
          <t>HULTSFRED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24331-2026</t>
        </is>
      </c>
      <c r="B656" t="inlineStr">
        <is>
          <t>avverkningsanmälan</t>
        </is>
      </c>
      <c r="C656" t="inlineStr">
        <is>
          <t>Föryngringsavverkning</t>
        </is>
      </c>
      <c r="D656" s="1" t="n">
        <v>46169</v>
      </c>
      <c r="E656" s="1" t="n">
        <v>46221</v>
      </c>
      <c r="F656" t="inlineStr">
        <is>
          <t>KALMAR LÄN</t>
        </is>
      </c>
      <c r="G656" t="inlineStr">
        <is>
          <t>HULTSFRED</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30716-2026</t>
        </is>
      </c>
      <c r="B657" t="inlineStr">
        <is>
          <t>avverkningsanmälan</t>
        </is>
      </c>
      <c r="C657" t="inlineStr">
        <is>
          <t>Föryngringsavverkning</t>
        </is>
      </c>
      <c r="D657" s="1" t="n">
        <v>46211</v>
      </c>
      <c r="E657" s="1" t="n">
        <v>46221</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30721-2026</t>
        </is>
      </c>
      <c r="B658" t="inlineStr">
        <is>
          <t>avverkningsanmälan</t>
        </is>
      </c>
      <c r="C658" t="inlineStr">
        <is>
          <t>Föryngringsavverkning</t>
        </is>
      </c>
      <c r="D658" s="1" t="n">
        <v>46211</v>
      </c>
      <c r="E658" s="1" t="n">
        <v>46221</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4974-2023</t>
        </is>
      </c>
      <c r="B659" t="inlineStr">
        <is>
          <t>avverkningsanmälan</t>
        </is>
      </c>
      <c r="C659" t="inlineStr">
        <is>
          <t>Föryngringsavverkning</t>
        </is>
      </c>
      <c r="D659" s="1" t="n">
        <v>44958</v>
      </c>
      <c r="E659" s="1" t="n">
        <v>46221</v>
      </c>
      <c r="F659" t="inlineStr">
        <is>
          <t>KALMAR LÄN</t>
        </is>
      </c>
      <c r="G659" t="inlineStr">
        <is>
          <t>HULTSFRED</t>
        </is>
      </c>
      <c r="I659" t="n">
        <v>2.8</v>
      </c>
      <c r="J659" t="n">
        <v>0</v>
      </c>
      <c r="K659" t="n">
        <v>0</v>
      </c>
      <c r="L659" t="n">
        <v>0</v>
      </c>
      <c r="M659" t="n">
        <v>0</v>
      </c>
      <c r="N659" t="n">
        <v>0</v>
      </c>
      <c r="O659" t="n">
        <v>0</v>
      </c>
      <c r="P659" t="n">
        <v>0</v>
      </c>
      <c r="Q659" t="n">
        <v>0</v>
      </c>
      <c r="R659" t="n">
        <v>0</v>
      </c>
      <c r="S659" t="n">
        <v>0</v>
      </c>
      <c r="T659" t="n">
        <v>0</v>
      </c>
      <c r="U659" s="2" t="inlineStr"/>
    </row>
    <row r="660" ht="15" customHeight="1">
      <c r="A660" t="inlineStr">
        <is>
          <t>A 24270-2026</t>
        </is>
      </c>
      <c r="B660" t="inlineStr">
        <is>
          <t>avverkningsanmälan</t>
        </is>
      </c>
      <c r="C660" t="inlineStr">
        <is>
          <t>Föryngringsavverkning</t>
        </is>
      </c>
      <c r="D660" s="1" t="n">
        <v>46169</v>
      </c>
      <c r="E660" s="1" t="n">
        <v>46221</v>
      </c>
      <c r="F660" t="inlineStr">
        <is>
          <t>KALMAR LÄN</t>
        </is>
      </c>
      <c r="G660" t="inlineStr">
        <is>
          <t>HULTSFRED</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29973-2024</t>
        </is>
      </c>
      <c r="B661" t="inlineStr">
        <is>
          <t>avverkningsanmälan</t>
        </is>
      </c>
      <c r="C661" t="inlineStr">
        <is>
          <t>Föryngringsavverkning</t>
        </is>
      </c>
      <c r="D661" s="1" t="n">
        <v>45488</v>
      </c>
      <c r="E661" s="1" t="n">
        <v>46221</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11232-2023</t>
        </is>
      </c>
      <c r="B662" t="inlineStr">
        <is>
          <t>avverkningsanmälan</t>
        </is>
      </c>
      <c r="C662" t="inlineStr">
        <is>
          <t>Föryngringsavverkning</t>
        </is>
      </c>
      <c r="D662" s="1" t="n">
        <v>44992</v>
      </c>
      <c r="E662" s="1" t="n">
        <v>46221</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24328-2026</t>
        </is>
      </c>
      <c r="B663" t="inlineStr">
        <is>
          <t>avverkningsanmälan</t>
        </is>
      </c>
      <c r="C663" t="inlineStr">
        <is>
          <t>Föryngringsavverkning</t>
        </is>
      </c>
      <c r="D663" s="1" t="n">
        <v>46169</v>
      </c>
      <c r="E663" s="1" t="n">
        <v>46221</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30712-2026</t>
        </is>
      </c>
      <c r="B664" t="inlineStr">
        <is>
          <t>avverkningsanmälan</t>
        </is>
      </c>
      <c r="C664" t="inlineStr">
        <is>
          <t>Föryngringsavverkning</t>
        </is>
      </c>
      <c r="D664" s="1" t="n">
        <v>46211</v>
      </c>
      <c r="E664" s="1" t="n">
        <v>46221</v>
      </c>
      <c r="F664" t="inlineStr">
        <is>
          <t>KALMAR LÄN</t>
        </is>
      </c>
      <c r="G664" t="inlineStr">
        <is>
          <t>HULTSFRED</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57004-2024</t>
        </is>
      </c>
      <c r="B665" t="inlineStr">
        <is>
          <t>avverkningsanmälan</t>
        </is>
      </c>
      <c r="C665" t="inlineStr">
        <is>
          <t>Föryngringsavverkning</t>
        </is>
      </c>
      <c r="D665" s="1" t="n">
        <v>45628</v>
      </c>
      <c r="E665" s="1" t="n">
        <v>46221</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30730-2026</t>
        </is>
      </c>
      <c r="B666" t="inlineStr">
        <is>
          <t>avverkningsanmälan</t>
        </is>
      </c>
      <c r="C666" t="inlineStr">
        <is>
          <t>Föryngringsavverkning</t>
        </is>
      </c>
      <c r="D666" s="1" t="n">
        <v>46211</v>
      </c>
      <c r="E666" s="1" t="n">
        <v>46221</v>
      </c>
      <c r="F666" t="inlineStr">
        <is>
          <t>KALMAR LÄN</t>
        </is>
      </c>
      <c r="G666" t="inlineStr">
        <is>
          <t>HULTSFRED</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9891-2024</t>
        </is>
      </c>
      <c r="B667" t="inlineStr">
        <is>
          <t>avverkningsanmälan</t>
        </is>
      </c>
      <c r="C667" t="inlineStr">
        <is>
          <t>Föryngringsavverkning</t>
        </is>
      </c>
      <c r="D667" s="1" t="n">
        <v>45363</v>
      </c>
      <c r="E667" s="1" t="n">
        <v>46221</v>
      </c>
      <c r="F667" t="inlineStr">
        <is>
          <t>KALMAR LÄN</t>
        </is>
      </c>
      <c r="G667" t="inlineStr">
        <is>
          <t>HULTSFRED</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30731-2026</t>
        </is>
      </c>
      <c r="B668" t="inlineStr">
        <is>
          <t>avverkningsanmälan</t>
        </is>
      </c>
      <c r="C668" t="inlineStr">
        <is>
          <t>Föryngringsavverkning</t>
        </is>
      </c>
      <c r="D668" s="1" t="n">
        <v>46211</v>
      </c>
      <c r="E668" s="1" t="n">
        <v>46221</v>
      </c>
      <c r="F668" t="inlineStr">
        <is>
          <t>KALMAR LÄN</t>
        </is>
      </c>
      <c r="G668" t="inlineStr">
        <is>
          <t>HULTSFRED</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30978-2026</t>
        </is>
      </c>
      <c r="B669" t="inlineStr">
        <is>
          <t>avverkningsanmälan</t>
        </is>
      </c>
      <c r="C669" t="inlineStr">
        <is>
          <t>Föryngringsavverkning</t>
        </is>
      </c>
      <c r="D669" s="1" t="n">
        <v>46213</v>
      </c>
      <c r="E669" s="1" t="n">
        <v>46221</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24258-2022</t>
        </is>
      </c>
      <c r="B670" t="inlineStr">
        <is>
          <t>avverkningsanmälan</t>
        </is>
      </c>
      <c r="C670" t="inlineStr">
        <is>
          <t>Föryngringsavverkning</t>
        </is>
      </c>
      <c r="D670" s="1" t="n">
        <v>44725</v>
      </c>
      <c r="E670" s="1" t="n">
        <v>46221</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24477-2026</t>
        </is>
      </c>
      <c r="B671" t="inlineStr">
        <is>
          <t>avverkningsanmälan</t>
        </is>
      </c>
      <c r="C671" t="inlineStr">
        <is>
          <t>Föryngringsavverkning</t>
        </is>
      </c>
      <c r="D671" s="1" t="n">
        <v>46170</v>
      </c>
      <c r="E671" s="1" t="n">
        <v>46221</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24775-2026</t>
        </is>
      </c>
      <c r="B672" t="inlineStr">
        <is>
          <t>avverkningsanmälan</t>
        </is>
      </c>
      <c r="C672" t="inlineStr">
        <is>
          <t>Föryngringsavverkning</t>
        </is>
      </c>
      <c r="D672" s="1" t="n">
        <v>46171</v>
      </c>
      <c r="E672" s="1" t="n">
        <v>46221</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24774-2026</t>
        </is>
      </c>
      <c r="B673" t="inlineStr">
        <is>
          <t>avverkningsanmälan</t>
        </is>
      </c>
      <c r="C673" t="inlineStr">
        <is>
          <t>Föryngringsavverkning</t>
        </is>
      </c>
      <c r="D673" s="1" t="n">
        <v>46171</v>
      </c>
      <c r="E673" s="1" t="n">
        <v>46221</v>
      </c>
      <c r="F673" t="inlineStr">
        <is>
          <t>KALMAR LÄN</t>
        </is>
      </c>
      <c r="G673" t="inlineStr">
        <is>
          <t>HULTSFRED</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37280-2023</t>
        </is>
      </c>
      <c r="B674" t="inlineStr">
        <is>
          <t>avverkningsanmälan</t>
        </is>
      </c>
      <c r="C674" t="inlineStr">
        <is>
          <t>Föryngringsavverkning</t>
        </is>
      </c>
      <c r="D674" s="1" t="n">
        <v>45156</v>
      </c>
      <c r="E674" s="1" t="n">
        <v>46221</v>
      </c>
      <c r="F674" t="inlineStr">
        <is>
          <t>KALMAR LÄN</t>
        </is>
      </c>
      <c r="G674" t="inlineStr">
        <is>
          <t>HULTSFRED</t>
        </is>
      </c>
      <c r="I674" t="n">
        <v>10.8</v>
      </c>
      <c r="J674" t="n">
        <v>0</v>
      </c>
      <c r="K674" t="n">
        <v>0</v>
      </c>
      <c r="L674" t="n">
        <v>0</v>
      </c>
      <c r="M674" t="n">
        <v>0</v>
      </c>
      <c r="N674" t="n">
        <v>0</v>
      </c>
      <c r="O674" t="n">
        <v>0</v>
      </c>
      <c r="P674" t="n">
        <v>0</v>
      </c>
      <c r="Q674" t="n">
        <v>0</v>
      </c>
      <c r="R674" t="n">
        <v>0</v>
      </c>
      <c r="S674" t="n">
        <v>0</v>
      </c>
      <c r="T674" t="n">
        <v>0</v>
      </c>
      <c r="U674" s="2" t="inlineStr"/>
    </row>
    <row r="675" ht="15" customHeight="1">
      <c r="A675" t="inlineStr">
        <is>
          <t>A 24478-2026</t>
        </is>
      </c>
      <c r="B675" t="inlineStr">
        <is>
          <t>avverkningsanmälan</t>
        </is>
      </c>
      <c r="C675" t="inlineStr">
        <is>
          <t>Föryngringsavverkning</t>
        </is>
      </c>
      <c r="D675" s="1" t="n">
        <v>46170</v>
      </c>
      <c r="E675" s="1" t="n">
        <v>46221</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s="2" t="inlineStr"/>
    </row>
    <row r="676" ht="15" customHeight="1">
      <c r="A676" t="inlineStr">
        <is>
          <t>A 30985-2026</t>
        </is>
      </c>
      <c r="B676" t="inlineStr">
        <is>
          <t>avverkningsanmälan</t>
        </is>
      </c>
      <c r="C676" t="inlineStr">
        <is>
          <t>Föryngringsavverkning</t>
        </is>
      </c>
      <c r="D676" s="1" t="n">
        <v>46213</v>
      </c>
      <c r="E676" s="1" t="n">
        <v>46221</v>
      </c>
      <c r="F676" t="inlineStr">
        <is>
          <t>KALMAR LÄN</t>
        </is>
      </c>
      <c r="G676" t="inlineStr">
        <is>
          <t>HULTSFRED</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58862-2023</t>
        </is>
      </c>
      <c r="B677" t="inlineStr">
        <is>
          <t>avverkningsanmälan</t>
        </is>
      </c>
      <c r="C677" t="inlineStr">
        <is>
          <t>Föryngringsavverkning</t>
        </is>
      </c>
      <c r="D677" s="1" t="n">
        <v>45247</v>
      </c>
      <c r="E677" s="1" t="n">
        <v>46221</v>
      </c>
      <c r="F677" t="inlineStr">
        <is>
          <t>KALMAR LÄN</t>
        </is>
      </c>
      <c r="G677" t="inlineStr">
        <is>
          <t>HULTSFRED</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19403-2023</t>
        </is>
      </c>
      <c r="B678" t="inlineStr">
        <is>
          <t>avverkningsanmälan</t>
        </is>
      </c>
      <c r="C678" t="inlineStr">
        <is>
          <t>Föryngringsavverkning</t>
        </is>
      </c>
      <c r="D678" s="1" t="n">
        <v>45049</v>
      </c>
      <c r="E678" s="1" t="n">
        <v>46221</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34565-2022</t>
        </is>
      </c>
      <c r="B679" t="inlineStr">
        <is>
          <t>avverkningsanmälan</t>
        </is>
      </c>
      <c r="C679" t="inlineStr">
        <is>
          <t>Föryngringsavverkning</t>
        </is>
      </c>
      <c r="D679" s="1" t="n">
        <v>44794</v>
      </c>
      <c r="E679" s="1" t="n">
        <v>46221</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24637-2026</t>
        </is>
      </c>
      <c r="B680" t="inlineStr">
        <is>
          <t>avverkningsanmälan</t>
        </is>
      </c>
      <c r="C680" t="inlineStr">
        <is>
          <t>Avverkning för att bevara och utveckla /försöksver</t>
        </is>
      </c>
      <c r="D680" s="1" t="n">
        <v>46171</v>
      </c>
      <c r="E680" s="1" t="n">
        <v>46221</v>
      </c>
      <c r="F680" t="inlineStr">
        <is>
          <t>KALMAR LÄN</t>
        </is>
      </c>
      <c r="G680" t="inlineStr">
        <is>
          <t>HULTSFRED</t>
        </is>
      </c>
      <c r="I680" t="n">
        <v>1.6</v>
      </c>
      <c r="J680" t="n">
        <v>0</v>
      </c>
      <c r="K680" t="n">
        <v>0</v>
      </c>
      <c r="L680" t="n">
        <v>0</v>
      </c>
      <c r="M680" t="n">
        <v>0</v>
      </c>
      <c r="N680" t="n">
        <v>0</v>
      </c>
      <c r="O680" t="n">
        <v>0</v>
      </c>
      <c r="P680" t="n">
        <v>0</v>
      </c>
      <c r="Q680" t="n">
        <v>0</v>
      </c>
      <c r="R680" t="n">
        <v>0</v>
      </c>
      <c r="S680" t="n">
        <v>0</v>
      </c>
      <c r="T680" t="n">
        <v>0</v>
      </c>
      <c r="U680" s="2" t="inlineStr"/>
    </row>
    <row r="681" ht="15" customHeight="1">
      <c r="A681" t="inlineStr">
        <is>
          <t>A 30995-2026</t>
        </is>
      </c>
      <c r="B681" t="inlineStr">
        <is>
          <t>avverkningsanmälan</t>
        </is>
      </c>
      <c r="C681" t="inlineStr">
        <is>
          <t>Föryngringsavverkning</t>
        </is>
      </c>
      <c r="D681" s="1" t="n">
        <v>46213</v>
      </c>
      <c r="E681" s="1" t="n">
        <v>46221</v>
      </c>
      <c r="F681" t="inlineStr">
        <is>
          <t>KALMAR LÄN</t>
        </is>
      </c>
      <c r="G681" t="inlineStr">
        <is>
          <t>HULTSFRED</t>
        </is>
      </c>
      <c r="I681" t="n">
        <v>4</v>
      </c>
      <c r="J681" t="n">
        <v>0</v>
      </c>
      <c r="K681" t="n">
        <v>0</v>
      </c>
      <c r="L681" t="n">
        <v>0</v>
      </c>
      <c r="M681" t="n">
        <v>0</v>
      </c>
      <c r="N681" t="n">
        <v>0</v>
      </c>
      <c r="O681" t="n">
        <v>0</v>
      </c>
      <c r="P681" t="n">
        <v>0</v>
      </c>
      <c r="Q681" t="n">
        <v>0</v>
      </c>
      <c r="R681" t="n">
        <v>0</v>
      </c>
      <c r="S681" t="n">
        <v>0</v>
      </c>
      <c r="T681" t="n">
        <v>0</v>
      </c>
      <c r="U681" s="2" t="inlineStr"/>
    </row>
    <row r="682" ht="15" customHeight="1">
      <c r="A682" t="inlineStr">
        <is>
          <t>A 30965-2026</t>
        </is>
      </c>
      <c r="B682" t="inlineStr">
        <is>
          <t>avverkningsanmälan</t>
        </is>
      </c>
      <c r="C682" t="inlineStr">
        <is>
          <t>Föryngringsavverkning</t>
        </is>
      </c>
      <c r="D682" s="1" t="n">
        <v>46213</v>
      </c>
      <c r="E682" s="1" t="n">
        <v>46221</v>
      </c>
      <c r="F682" t="inlineStr">
        <is>
          <t>KALMAR LÄN</t>
        </is>
      </c>
      <c r="G682" t="inlineStr">
        <is>
          <t>HULTSFRED</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25183-2026</t>
        </is>
      </c>
      <c r="B683" t="inlineStr">
        <is>
          <t>avverkningsanmälan</t>
        </is>
      </c>
      <c r="C683" t="inlineStr">
        <is>
          <t>Föryngringsavverkning</t>
        </is>
      </c>
      <c r="D683" s="1" t="n">
        <v>46175</v>
      </c>
      <c r="E683" s="1" t="n">
        <v>46221</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25189-2026</t>
        </is>
      </c>
      <c r="B684" t="inlineStr">
        <is>
          <t>avverkningsanmälan</t>
        </is>
      </c>
      <c r="C684" t="inlineStr">
        <is>
          <t>Föryngringsavverkning</t>
        </is>
      </c>
      <c r="D684" s="1" t="n">
        <v>46175</v>
      </c>
      <c r="E684" s="1" t="n">
        <v>46221</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25153-2026</t>
        </is>
      </c>
      <c r="B685" t="inlineStr">
        <is>
          <t>avverkningsanmälan</t>
        </is>
      </c>
      <c r="C685" t="inlineStr">
        <is>
          <t>Föryngringsavverkning</t>
        </is>
      </c>
      <c r="D685" s="1" t="n">
        <v>46175</v>
      </c>
      <c r="E685" s="1" t="n">
        <v>46221</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25157-2026</t>
        </is>
      </c>
      <c r="B686" t="inlineStr">
        <is>
          <t>avverkningsanmälan</t>
        </is>
      </c>
      <c r="C686" t="inlineStr">
        <is>
          <t>Föryngringsavverkning</t>
        </is>
      </c>
      <c r="D686" s="1" t="n">
        <v>46175</v>
      </c>
      <c r="E686" s="1" t="n">
        <v>46221</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39948-2023</t>
        </is>
      </c>
      <c r="B687" t="inlineStr">
        <is>
          <t>avverkningsanmälan</t>
        </is>
      </c>
      <c r="C687" t="inlineStr">
        <is>
          <t>Föryngringsavverkning</t>
        </is>
      </c>
      <c r="D687" s="1" t="n">
        <v>45168</v>
      </c>
      <c r="E687" s="1" t="n">
        <v>46221</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7078-2023</t>
        </is>
      </c>
      <c r="B688" t="inlineStr">
        <is>
          <t>avverkningsanmälan</t>
        </is>
      </c>
      <c r="C688" t="inlineStr">
        <is>
          <t>Föryngringsavverkning</t>
        </is>
      </c>
      <c r="D688" s="1" t="n">
        <v>44970</v>
      </c>
      <c r="E688" s="1" t="n">
        <v>46221</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24836-2026</t>
        </is>
      </c>
      <c r="B689" t="inlineStr">
        <is>
          <t>avverkningsanmälan</t>
        </is>
      </c>
      <c r="C689" t="inlineStr">
        <is>
          <t>Föryngringsavverkning</t>
        </is>
      </c>
      <c r="D689" s="1" t="n">
        <v>46174</v>
      </c>
      <c r="E689" s="1" t="n">
        <v>46221</v>
      </c>
      <c r="F689" t="inlineStr">
        <is>
          <t>KALMAR LÄN</t>
        </is>
      </c>
      <c r="G689" t="inlineStr">
        <is>
          <t>HULTSFRED</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5801-2024</t>
        </is>
      </c>
      <c r="B690" t="inlineStr">
        <is>
          <t>avverkningsanmälan</t>
        </is>
      </c>
      <c r="C690" t="inlineStr">
        <is>
          <t>Föryngringsavverkning</t>
        </is>
      </c>
      <c r="D690" s="1" t="n">
        <v>45335</v>
      </c>
      <c r="E690" s="1" t="n">
        <v>46221</v>
      </c>
      <c r="F690" t="inlineStr">
        <is>
          <t>KALMAR LÄN</t>
        </is>
      </c>
      <c r="G690" t="inlineStr">
        <is>
          <t>HULTSFRED</t>
        </is>
      </c>
      <c r="I690" t="n">
        <v>0</v>
      </c>
      <c r="J690" t="n">
        <v>0</v>
      </c>
      <c r="K690" t="n">
        <v>0</v>
      </c>
      <c r="L690" t="n">
        <v>0</v>
      </c>
      <c r="M690" t="n">
        <v>0</v>
      </c>
      <c r="N690" t="n">
        <v>0</v>
      </c>
      <c r="O690" t="n">
        <v>0</v>
      </c>
      <c r="P690" t="n">
        <v>0</v>
      </c>
      <c r="Q690" t="n">
        <v>0</v>
      </c>
      <c r="R690" t="n">
        <v>0</v>
      </c>
      <c r="S690" t="n">
        <v>0</v>
      </c>
      <c r="T690" t="n">
        <v>0</v>
      </c>
      <c r="U690" s="2" t="inlineStr"/>
    </row>
    <row r="691" ht="15" customHeight="1">
      <c r="A691" t="inlineStr">
        <is>
          <t>A 8332-2024</t>
        </is>
      </c>
      <c r="B691" t="inlineStr">
        <is>
          <t>avverkningsanmälan</t>
        </is>
      </c>
      <c r="C691" t="inlineStr">
        <is>
          <t>Föryngringsavverkning</t>
        </is>
      </c>
      <c r="D691" s="1" t="n">
        <v>45352</v>
      </c>
      <c r="E691" s="1" t="n">
        <v>46221</v>
      </c>
      <c r="F691" t="inlineStr">
        <is>
          <t>KALMAR LÄN</t>
        </is>
      </c>
      <c r="G691" t="inlineStr">
        <is>
          <t>HULTSFRED</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25354-2026</t>
        </is>
      </c>
      <c r="B692" t="inlineStr">
        <is>
          <t>avverkningsanmälan</t>
        </is>
      </c>
      <c r="C692" t="inlineStr">
        <is>
          <t>Föryngringsavverkning</t>
        </is>
      </c>
      <c r="D692" s="1" t="n">
        <v>46176</v>
      </c>
      <c r="E692" s="1" t="n">
        <v>46221</v>
      </c>
      <c r="F692" t="inlineStr">
        <is>
          <t>KALMAR LÄN</t>
        </is>
      </c>
      <c r="G692" t="inlineStr">
        <is>
          <t>HULTSFRED</t>
        </is>
      </c>
      <c r="I692" t="n">
        <v>5.6</v>
      </c>
      <c r="J692" t="n">
        <v>0</v>
      </c>
      <c r="K692" t="n">
        <v>0</v>
      </c>
      <c r="L692" t="n">
        <v>0</v>
      </c>
      <c r="M692" t="n">
        <v>0</v>
      </c>
      <c r="N692" t="n">
        <v>0</v>
      </c>
      <c r="O692" t="n">
        <v>0</v>
      </c>
      <c r="P692" t="n">
        <v>0</v>
      </c>
      <c r="Q692" t="n">
        <v>0</v>
      </c>
      <c r="R692" t="n">
        <v>0</v>
      </c>
      <c r="S692" t="n">
        <v>0</v>
      </c>
      <c r="T692" t="n">
        <v>0</v>
      </c>
      <c r="U692" s="2" t="inlineStr"/>
    </row>
    <row r="693" ht="15" customHeight="1">
      <c r="A693" t="inlineStr">
        <is>
          <t>A 36092-2023</t>
        </is>
      </c>
      <c r="B693" t="inlineStr">
        <is>
          <t>avverkningsanmälan</t>
        </is>
      </c>
      <c r="C693" t="inlineStr">
        <is>
          <t>Föryngringsavverkning</t>
        </is>
      </c>
      <c r="D693" s="1" t="n">
        <v>45149</v>
      </c>
      <c r="E693" s="1" t="n">
        <v>46221</v>
      </c>
      <c r="F693" t="inlineStr">
        <is>
          <t>KALMAR LÄN</t>
        </is>
      </c>
      <c r="G693" t="inlineStr">
        <is>
          <t>HULTSFRED</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13946-2023</t>
        </is>
      </c>
      <c r="B694" t="inlineStr">
        <is>
          <t>avverkningsanmälan</t>
        </is>
      </c>
      <c r="C694" t="inlineStr">
        <is>
          <t>Föryngringsavverkning</t>
        </is>
      </c>
      <c r="D694" s="1" t="n">
        <v>45008</v>
      </c>
      <c r="E694" s="1" t="n">
        <v>46221</v>
      </c>
      <c r="F694" t="inlineStr">
        <is>
          <t>KALMAR LÄN</t>
        </is>
      </c>
      <c r="G694" t="inlineStr">
        <is>
          <t>HULTSFRED</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48927-2023</t>
        </is>
      </c>
      <c r="B695" t="inlineStr">
        <is>
          <t>avverkningsanmälan</t>
        </is>
      </c>
      <c r="C695" t="inlineStr">
        <is>
          <t>Föryngringsavverkning</t>
        </is>
      </c>
      <c r="D695" s="1" t="n">
        <v>45209</v>
      </c>
      <c r="E695" s="1" t="n">
        <v>46221</v>
      </c>
      <c r="F695" t="inlineStr">
        <is>
          <t>KALMAR LÄN</t>
        </is>
      </c>
      <c r="G695" t="inlineStr">
        <is>
          <t>HULTSFRED</t>
        </is>
      </c>
      <c r="H695" t="inlineStr">
        <is>
          <t>Övriga Aktiebolag</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11883-2024</t>
        </is>
      </c>
      <c r="B696" t="inlineStr">
        <is>
          <t>avverkningsanmälan</t>
        </is>
      </c>
      <c r="C696" t="inlineStr">
        <is>
          <t>Föryngringsavverkning</t>
        </is>
      </c>
      <c r="D696" s="1" t="n">
        <v>45376</v>
      </c>
      <c r="E696" s="1" t="n">
        <v>46221</v>
      </c>
      <c r="F696" t="inlineStr">
        <is>
          <t>KALMAR LÄN</t>
        </is>
      </c>
      <c r="G696" t="inlineStr">
        <is>
          <t>HULTSFRED</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5578-2023</t>
        </is>
      </c>
      <c r="B697" t="inlineStr">
        <is>
          <t>avverkningsanmälan</t>
        </is>
      </c>
      <c r="C697" t="inlineStr">
        <is>
          <t>Föryngringsavverkning</t>
        </is>
      </c>
      <c r="D697" s="1" t="n">
        <v>44960</v>
      </c>
      <c r="E697" s="1" t="n">
        <v>46221</v>
      </c>
      <c r="F697" t="inlineStr">
        <is>
          <t>KALMAR LÄN</t>
        </is>
      </c>
      <c r="G697" t="inlineStr">
        <is>
          <t>HULTSFRED</t>
        </is>
      </c>
      <c r="H697" t="inlineStr">
        <is>
          <t>Sveaskog</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11325-2025</t>
        </is>
      </c>
      <c r="B698" t="inlineStr">
        <is>
          <t>avverkningsanmälan</t>
        </is>
      </c>
      <c r="C698" t="inlineStr">
        <is>
          <t>Föryngringsavverkning</t>
        </is>
      </c>
      <c r="D698" s="1" t="n">
        <v>45726</v>
      </c>
      <c r="E698" s="1" t="n">
        <v>46221</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11383-2025</t>
        </is>
      </c>
      <c r="B699" t="inlineStr">
        <is>
          <t>avverkningsanmälan</t>
        </is>
      </c>
      <c r="C699" t="inlineStr">
        <is>
          <t>Avverkning för annat ändamål</t>
        </is>
      </c>
      <c r="D699" s="1" t="n">
        <v>45726</v>
      </c>
      <c r="E699" s="1" t="n">
        <v>46221</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64306-2023</t>
        </is>
      </c>
      <c r="B700" t="inlineStr">
        <is>
          <t>avverkningsanmälan</t>
        </is>
      </c>
      <c r="C700" t="inlineStr">
        <is>
          <t>Föryngringsavverkning</t>
        </is>
      </c>
      <c r="D700" s="1" t="n">
        <v>45280</v>
      </c>
      <c r="E700" s="1" t="n">
        <v>46221</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58208-2023</t>
        </is>
      </c>
      <c r="B701" t="inlineStr">
        <is>
          <t>avverkningsanmälan</t>
        </is>
      </c>
      <c r="C701" t="inlineStr">
        <is>
          <t>Föryngringsavverkning</t>
        </is>
      </c>
      <c r="D701" s="1" t="n">
        <v>45250</v>
      </c>
      <c r="E701" s="1" t="n">
        <v>46221</v>
      </c>
      <c r="F701" t="inlineStr">
        <is>
          <t>KALMAR LÄN</t>
        </is>
      </c>
      <c r="G701" t="inlineStr">
        <is>
          <t>HULTSFRED</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5755-2023</t>
        </is>
      </c>
      <c r="B702" t="inlineStr">
        <is>
          <t>avverkningsanmälan</t>
        </is>
      </c>
      <c r="C702" t="inlineStr">
        <is>
          <t>Föryngringsavverkning</t>
        </is>
      </c>
      <c r="D702" s="1" t="n">
        <v>44963</v>
      </c>
      <c r="E702" s="1" t="n">
        <v>46221</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16541-2024</t>
        </is>
      </c>
      <c r="B703" t="inlineStr">
        <is>
          <t>avverkningsanmälan</t>
        </is>
      </c>
      <c r="C703" t="inlineStr">
        <is>
          <t>Föryngringsavverkning</t>
        </is>
      </c>
      <c r="D703" s="1" t="n">
        <v>45408</v>
      </c>
      <c r="E703" s="1" t="n">
        <v>46221</v>
      </c>
      <c r="F703" t="inlineStr">
        <is>
          <t>KALMAR LÄN</t>
        </is>
      </c>
      <c r="G703" t="inlineStr">
        <is>
          <t>HULTSFRED</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10904-2024</t>
        </is>
      </c>
      <c r="B704" t="inlineStr">
        <is>
          <t>avverkningsanmälan</t>
        </is>
      </c>
      <c r="C704" t="inlineStr">
        <is>
          <t>Föryngringsavverkning</t>
        </is>
      </c>
      <c r="D704" s="1" t="n">
        <v>45370</v>
      </c>
      <c r="E704" s="1" t="n">
        <v>46221</v>
      </c>
      <c r="F704" t="inlineStr">
        <is>
          <t>KALMAR LÄN</t>
        </is>
      </c>
      <c r="G704" t="inlineStr">
        <is>
          <t>HULTSFRED</t>
        </is>
      </c>
      <c r="I704" t="n">
        <v>7.8</v>
      </c>
      <c r="J704" t="n">
        <v>0</v>
      </c>
      <c r="K704" t="n">
        <v>0</v>
      </c>
      <c r="L704" t="n">
        <v>0</v>
      </c>
      <c r="M704" t="n">
        <v>0</v>
      </c>
      <c r="N704" t="n">
        <v>0</v>
      </c>
      <c r="O704" t="n">
        <v>0</v>
      </c>
      <c r="P704" t="n">
        <v>0</v>
      </c>
      <c r="Q704" t="n">
        <v>0</v>
      </c>
      <c r="R704" t="n">
        <v>0</v>
      </c>
      <c r="S704" t="n">
        <v>0</v>
      </c>
      <c r="T704" t="n">
        <v>0</v>
      </c>
      <c r="U704" s="2" t="inlineStr"/>
    </row>
    <row r="705" ht="15" customHeight="1">
      <c r="A705" t="inlineStr">
        <is>
          <t>A 25360-2026</t>
        </is>
      </c>
      <c r="B705" t="inlineStr">
        <is>
          <t>avverkningsanmälan</t>
        </is>
      </c>
      <c r="C705" t="inlineStr">
        <is>
          <t>Föryngringsavverkning</t>
        </is>
      </c>
      <c r="D705" s="1" t="n">
        <v>46176</v>
      </c>
      <c r="E705" s="1" t="n">
        <v>46221</v>
      </c>
      <c r="F705" t="inlineStr">
        <is>
          <t>KALMAR LÄN</t>
        </is>
      </c>
      <c r="G705" t="inlineStr">
        <is>
          <t>HULTSFRED</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12339-2025</t>
        </is>
      </c>
      <c r="B706" t="inlineStr">
        <is>
          <t>avverkningsanmälan</t>
        </is>
      </c>
      <c r="C706" t="inlineStr">
        <is>
          <t>Föryngringsavverkning</t>
        </is>
      </c>
      <c r="D706" s="1" t="n">
        <v>45730</v>
      </c>
      <c r="E706" s="1" t="n">
        <v>46221</v>
      </c>
      <c r="F706" t="inlineStr">
        <is>
          <t>KALMAR LÄN</t>
        </is>
      </c>
      <c r="G706" t="inlineStr">
        <is>
          <t>HULTSFRED</t>
        </is>
      </c>
      <c r="H706" t="inlineStr">
        <is>
          <t>Sveaskog</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46029-2024</t>
        </is>
      </c>
      <c r="B707" t="inlineStr">
        <is>
          <t>avverkningsanmälan</t>
        </is>
      </c>
      <c r="C707" t="inlineStr">
        <is>
          <t>Föryngringsavverkning</t>
        </is>
      </c>
      <c r="D707" s="1" t="n">
        <v>45580</v>
      </c>
      <c r="E707" s="1" t="n">
        <v>46221</v>
      </c>
      <c r="F707" t="inlineStr">
        <is>
          <t>KALMAR LÄN</t>
        </is>
      </c>
      <c r="G707" t="inlineStr">
        <is>
          <t>HULTSFRED</t>
        </is>
      </c>
      <c r="I707" t="n">
        <v>5.3</v>
      </c>
      <c r="J707" t="n">
        <v>0</v>
      </c>
      <c r="K707" t="n">
        <v>0</v>
      </c>
      <c r="L707" t="n">
        <v>0</v>
      </c>
      <c r="M707" t="n">
        <v>0</v>
      </c>
      <c r="N707" t="n">
        <v>0</v>
      </c>
      <c r="O707" t="n">
        <v>0</v>
      </c>
      <c r="P707" t="n">
        <v>0</v>
      </c>
      <c r="Q707" t="n">
        <v>0</v>
      </c>
      <c r="R707" t="n">
        <v>0</v>
      </c>
      <c r="S707" t="n">
        <v>0</v>
      </c>
      <c r="T707" t="n">
        <v>0</v>
      </c>
      <c r="U707" s="2" t="inlineStr"/>
    </row>
    <row r="708" ht="15" customHeight="1">
      <c r="A708" t="inlineStr">
        <is>
          <t>A 22622-2024</t>
        </is>
      </c>
      <c r="B708" t="inlineStr">
        <is>
          <t>avverkningsanmälan</t>
        </is>
      </c>
      <c r="C708" t="inlineStr">
        <is>
          <t>Föryngringsavverkning</t>
        </is>
      </c>
      <c r="D708" s="1" t="n">
        <v>45447</v>
      </c>
      <c r="E708" s="1" t="n">
        <v>46221</v>
      </c>
      <c r="F708" t="inlineStr">
        <is>
          <t>KALMAR LÄN</t>
        </is>
      </c>
      <c r="G708" t="inlineStr">
        <is>
          <t>HULTSFRED</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28254-2024</t>
        </is>
      </c>
      <c r="B709" t="inlineStr">
        <is>
          <t>avverkningsanmälan</t>
        </is>
      </c>
      <c r="C709" t="inlineStr">
        <is>
          <t>Föryngringsavverkning</t>
        </is>
      </c>
      <c r="D709" s="1" t="n">
        <v>45477</v>
      </c>
      <c r="E709" s="1" t="n">
        <v>46221</v>
      </c>
      <c r="F709" t="inlineStr">
        <is>
          <t>KALMAR LÄN</t>
        </is>
      </c>
      <c r="G709" t="inlineStr">
        <is>
          <t>HULTSFRED</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12331-2025</t>
        </is>
      </c>
      <c r="B710" t="inlineStr">
        <is>
          <t>avverkningsanmälan</t>
        </is>
      </c>
      <c r="C710" t="inlineStr">
        <is>
          <t>Föryngringsavverkning</t>
        </is>
      </c>
      <c r="D710" s="1" t="n">
        <v>45730</v>
      </c>
      <c r="E710" s="1" t="n">
        <v>46221</v>
      </c>
      <c r="F710" t="inlineStr">
        <is>
          <t>KALMAR LÄN</t>
        </is>
      </c>
      <c r="G710" t="inlineStr">
        <is>
          <t>HULTSFRED</t>
        </is>
      </c>
      <c r="H710" t="inlineStr">
        <is>
          <t>Sveaskog</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15437-2023</t>
        </is>
      </c>
      <c r="B711" t="inlineStr">
        <is>
          <t>avverkningsanmälan</t>
        </is>
      </c>
      <c r="C711" t="inlineStr">
        <is>
          <t>Föryngringsavverkning</t>
        </is>
      </c>
      <c r="D711" s="1" t="n">
        <v>45016</v>
      </c>
      <c r="E711" s="1" t="n">
        <v>46221</v>
      </c>
      <c r="F711" t="inlineStr">
        <is>
          <t>KALMAR LÄN</t>
        </is>
      </c>
      <c r="G711" t="inlineStr">
        <is>
          <t>HULTSFRED</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33440-2023</t>
        </is>
      </c>
      <c r="B712" t="inlineStr">
        <is>
          <t>avverkningsanmälan</t>
        </is>
      </c>
      <c r="C712" t="inlineStr">
        <is>
          <t>Föryngringsavverkning</t>
        </is>
      </c>
      <c r="D712" s="1" t="n">
        <v>45129</v>
      </c>
      <c r="E712" s="1" t="n">
        <v>46221</v>
      </c>
      <c r="F712" t="inlineStr">
        <is>
          <t>KALMAR LÄN</t>
        </is>
      </c>
      <c r="G712" t="inlineStr">
        <is>
          <t>HULTSFRED</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63867-2023</t>
        </is>
      </c>
      <c r="B713" t="inlineStr">
        <is>
          <t>avverkningsanmälan</t>
        </is>
      </c>
      <c r="C713" t="inlineStr">
        <is>
          <t>Föryngringsavverkning</t>
        </is>
      </c>
      <c r="D713" s="1" t="n">
        <v>45278</v>
      </c>
      <c r="E713" s="1" t="n">
        <v>46221</v>
      </c>
      <c r="F713" t="inlineStr">
        <is>
          <t>KALMAR LÄN</t>
        </is>
      </c>
      <c r="G713" t="inlineStr">
        <is>
          <t>HULTSFRED</t>
        </is>
      </c>
      <c r="I713" t="n">
        <v>0.8</v>
      </c>
      <c r="J713" t="n">
        <v>0</v>
      </c>
      <c r="K713" t="n">
        <v>0</v>
      </c>
      <c r="L713" t="n">
        <v>0</v>
      </c>
      <c r="M713" t="n">
        <v>0</v>
      </c>
      <c r="N713" t="n">
        <v>0</v>
      </c>
      <c r="O713" t="n">
        <v>0</v>
      </c>
      <c r="P713" t="n">
        <v>0</v>
      </c>
      <c r="Q713" t="n">
        <v>0</v>
      </c>
      <c r="R713" t="n">
        <v>0</v>
      </c>
      <c r="S713" t="n">
        <v>0</v>
      </c>
      <c r="T713" t="n">
        <v>0</v>
      </c>
      <c r="U713" s="2" t="inlineStr"/>
    </row>
    <row r="714" ht="15" customHeight="1">
      <c r="A714" t="inlineStr">
        <is>
          <t>A 44715-2023</t>
        </is>
      </c>
      <c r="B714" t="inlineStr">
        <is>
          <t>avverkningsanmälan</t>
        </is>
      </c>
      <c r="C714" t="inlineStr">
        <is>
          <t>Föryngringsavverkning</t>
        </is>
      </c>
      <c r="D714" s="1" t="n">
        <v>45190</v>
      </c>
      <c r="E714" s="1" t="n">
        <v>46221</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53191-2023</t>
        </is>
      </c>
      <c r="B715" t="inlineStr">
        <is>
          <t>avverkningsanmälan</t>
        </is>
      </c>
      <c r="C715" t="inlineStr">
        <is>
          <t>Föryngringsavverkning</t>
        </is>
      </c>
      <c r="D715" s="1" t="n">
        <v>45229</v>
      </c>
      <c r="E715" s="1" t="n">
        <v>46221</v>
      </c>
      <c r="F715" t="inlineStr">
        <is>
          <t>KALMAR LÄN</t>
        </is>
      </c>
      <c r="G715" t="inlineStr">
        <is>
          <t>HULTSFRED</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14839-2025</t>
        </is>
      </c>
      <c r="B716" t="inlineStr">
        <is>
          <t>avverkningsanmälan</t>
        </is>
      </c>
      <c r="C716" t="inlineStr">
        <is>
          <t>Avverkning för att bevara och utveckla /försöksver</t>
        </is>
      </c>
      <c r="D716" s="1" t="n">
        <v>45743</v>
      </c>
      <c r="E716" s="1" t="n">
        <v>46221</v>
      </c>
      <c r="F716" t="inlineStr">
        <is>
          <t>KALMAR LÄN</t>
        </is>
      </c>
      <c r="G716" t="inlineStr">
        <is>
          <t>HULTSFRED</t>
        </is>
      </c>
      <c r="H716" t="inlineStr">
        <is>
          <t>Sveaskog</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2857-2024</t>
        </is>
      </c>
      <c r="B717" t="inlineStr">
        <is>
          <t>avverkningsanmälan</t>
        </is>
      </c>
      <c r="C717" t="inlineStr">
        <is>
          <t>Föryngringsavverkning</t>
        </is>
      </c>
      <c r="D717" s="1" t="n">
        <v>45315</v>
      </c>
      <c r="E717" s="1" t="n">
        <v>46221</v>
      </c>
      <c r="F717" t="inlineStr">
        <is>
          <t>KALMAR LÄN</t>
        </is>
      </c>
      <c r="G717" t="inlineStr">
        <is>
          <t>HULTSFRED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112-2023</t>
        </is>
      </c>
      <c r="B718" t="inlineStr">
        <is>
          <t>avverkningsanmälan</t>
        </is>
      </c>
      <c r="C718" t="inlineStr">
        <is>
          <t>Föryngringsavverkning</t>
        </is>
      </c>
      <c r="D718" s="1" t="n">
        <v>44928</v>
      </c>
      <c r="E718" s="1" t="n">
        <v>46221</v>
      </c>
      <c r="F718" t="inlineStr">
        <is>
          <t>KALMAR LÄN</t>
        </is>
      </c>
      <c r="G718" t="inlineStr">
        <is>
          <t>HULTSFRED</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7753-2025</t>
        </is>
      </c>
      <c r="B719" t="inlineStr">
        <is>
          <t>avverkningsanmälan</t>
        </is>
      </c>
      <c r="C719" t="inlineStr">
        <is>
          <t>Föryngringsavverkning</t>
        </is>
      </c>
      <c r="D719" s="1" t="n">
        <v>45706</v>
      </c>
      <c r="E719" s="1" t="n">
        <v>46221</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19899-2025</t>
        </is>
      </c>
      <c r="B720" t="inlineStr">
        <is>
          <t>avverkningsanmälan</t>
        </is>
      </c>
      <c r="C720" t="inlineStr">
        <is>
          <t>Föryngringsavverkning</t>
        </is>
      </c>
      <c r="D720" s="1" t="n">
        <v>45771</v>
      </c>
      <c r="E720" s="1" t="n">
        <v>46221</v>
      </c>
      <c r="F720" t="inlineStr">
        <is>
          <t>KALMAR LÄN</t>
        </is>
      </c>
      <c r="G720" t="inlineStr">
        <is>
          <t>HULTSFRED</t>
        </is>
      </c>
      <c r="I720" t="n">
        <v>6</v>
      </c>
      <c r="J720" t="n">
        <v>0</v>
      </c>
      <c r="K720" t="n">
        <v>0</v>
      </c>
      <c r="L720" t="n">
        <v>0</v>
      </c>
      <c r="M720" t="n">
        <v>0</v>
      </c>
      <c r="N720" t="n">
        <v>0</v>
      </c>
      <c r="O720" t="n">
        <v>0</v>
      </c>
      <c r="P720" t="n">
        <v>0</v>
      </c>
      <c r="Q720" t="n">
        <v>0</v>
      </c>
      <c r="R720" t="n">
        <v>0</v>
      </c>
      <c r="S720" t="n">
        <v>0</v>
      </c>
      <c r="T720" t="n">
        <v>0</v>
      </c>
      <c r="U720" s="2" t="inlineStr"/>
    </row>
    <row r="721" ht="15" customHeight="1">
      <c r="A721" t="inlineStr">
        <is>
          <t>A 11566-2025</t>
        </is>
      </c>
      <c r="B721" t="inlineStr">
        <is>
          <t>avverkningsanmälan</t>
        </is>
      </c>
      <c r="C721" t="inlineStr">
        <is>
          <t>Föryngringsavverkning</t>
        </is>
      </c>
      <c r="D721" s="1" t="n">
        <v>45727</v>
      </c>
      <c r="E721" s="1" t="n">
        <v>46221</v>
      </c>
      <c r="F721" t="inlineStr">
        <is>
          <t>KALMAR LÄN</t>
        </is>
      </c>
      <c r="G721" t="inlineStr">
        <is>
          <t>HULTSFRED</t>
        </is>
      </c>
      <c r="I721" t="n">
        <v>5.5</v>
      </c>
      <c r="J721" t="n">
        <v>0</v>
      </c>
      <c r="K721" t="n">
        <v>0</v>
      </c>
      <c r="L721" t="n">
        <v>0</v>
      </c>
      <c r="M721" t="n">
        <v>0</v>
      </c>
      <c r="N721" t="n">
        <v>0</v>
      </c>
      <c r="O721" t="n">
        <v>0</v>
      </c>
      <c r="P721" t="n">
        <v>0</v>
      </c>
      <c r="Q721" t="n">
        <v>0</v>
      </c>
      <c r="R721" t="n">
        <v>0</v>
      </c>
      <c r="S721" t="n">
        <v>0</v>
      </c>
      <c r="T721" t="n">
        <v>0</v>
      </c>
      <c r="U721" s="2" t="inlineStr"/>
    </row>
    <row r="722" ht="15" customHeight="1">
      <c r="A722" t="inlineStr">
        <is>
          <t>A 9293-2025</t>
        </is>
      </c>
      <c r="B722" t="inlineStr">
        <is>
          <t>avverkningsanmälan</t>
        </is>
      </c>
      <c r="C722" t="inlineStr">
        <is>
          <t>Föryngringsavverkning</t>
        </is>
      </c>
      <c r="D722" s="1" t="n">
        <v>45714</v>
      </c>
      <c r="E722" s="1" t="n">
        <v>46221</v>
      </c>
      <c r="F722" t="inlineStr">
        <is>
          <t>KALMAR LÄN</t>
        </is>
      </c>
      <c r="G722" t="inlineStr">
        <is>
          <t>HULTSFRED</t>
        </is>
      </c>
      <c r="I722" t="n">
        <v>3</v>
      </c>
      <c r="J722" t="n">
        <v>0</v>
      </c>
      <c r="K722" t="n">
        <v>0</v>
      </c>
      <c r="L722" t="n">
        <v>0</v>
      </c>
      <c r="M722" t="n">
        <v>0</v>
      </c>
      <c r="N722" t="n">
        <v>0</v>
      </c>
      <c r="O722" t="n">
        <v>0</v>
      </c>
      <c r="P722" t="n">
        <v>0</v>
      </c>
      <c r="Q722" t="n">
        <v>0</v>
      </c>
      <c r="R722" t="n">
        <v>0</v>
      </c>
      <c r="S722" t="n">
        <v>0</v>
      </c>
      <c r="T722" t="n">
        <v>0</v>
      </c>
      <c r="U722" s="2" t="inlineStr"/>
    </row>
    <row r="723" ht="15" customHeight="1">
      <c r="A723" t="inlineStr">
        <is>
          <t>A 13156-2025</t>
        </is>
      </c>
      <c r="B723" t="inlineStr">
        <is>
          <t>avverkningsanmälan</t>
        </is>
      </c>
      <c r="C723" t="inlineStr">
        <is>
          <t>Föryngringsavverkning</t>
        </is>
      </c>
      <c r="D723" s="1" t="n">
        <v>45735</v>
      </c>
      <c r="E723" s="1" t="n">
        <v>46221</v>
      </c>
      <c r="F723" t="inlineStr">
        <is>
          <t>KALMAR LÄN</t>
        </is>
      </c>
      <c r="G723" t="inlineStr">
        <is>
          <t>HULTSFRED</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24779-2025</t>
        </is>
      </c>
      <c r="B724" t="inlineStr">
        <is>
          <t>avverkningsanmälan</t>
        </is>
      </c>
      <c r="C724" t="inlineStr">
        <is>
          <t>Föryngringsavverkning</t>
        </is>
      </c>
      <c r="D724" s="1" t="n">
        <v>45799</v>
      </c>
      <c r="E724" s="1" t="n">
        <v>46221</v>
      </c>
      <c r="F724" t="inlineStr">
        <is>
          <t>KALMAR LÄN</t>
        </is>
      </c>
      <c r="G724" t="inlineStr">
        <is>
          <t>HULTSFRED</t>
        </is>
      </c>
      <c r="H724" t="inlineStr">
        <is>
          <t>Sveaskog</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59764-2024</t>
        </is>
      </c>
      <c r="B725" t="inlineStr">
        <is>
          <t>avverkningsanmälan</t>
        </is>
      </c>
      <c r="C725" t="inlineStr">
        <is>
          <t>Föryngringsavverkning</t>
        </is>
      </c>
      <c r="D725" s="1" t="n">
        <v>45638</v>
      </c>
      <c r="E725" s="1" t="n">
        <v>46221</v>
      </c>
      <c r="F725" t="inlineStr">
        <is>
          <t>KALMAR LÄN</t>
        </is>
      </c>
      <c r="G725" t="inlineStr">
        <is>
          <t>HULTSFRED</t>
        </is>
      </c>
      <c r="I725" t="n">
        <v>2.1</v>
      </c>
      <c r="J725" t="n">
        <v>0</v>
      </c>
      <c r="K725" t="n">
        <v>0</v>
      </c>
      <c r="L725" t="n">
        <v>0</v>
      </c>
      <c r="M725" t="n">
        <v>0</v>
      </c>
      <c r="N725" t="n">
        <v>0</v>
      </c>
      <c r="O725" t="n">
        <v>0</v>
      </c>
      <c r="P725" t="n">
        <v>0</v>
      </c>
      <c r="Q725" t="n">
        <v>0</v>
      </c>
      <c r="R725" t="n">
        <v>0</v>
      </c>
      <c r="S725" t="n">
        <v>0</v>
      </c>
      <c r="T725" t="n">
        <v>0</v>
      </c>
      <c r="U725" s="2" t="inlineStr"/>
    </row>
    <row r="726" ht="15" customHeight="1">
      <c r="A726" t="inlineStr">
        <is>
          <t>A 61802-2024</t>
        </is>
      </c>
      <c r="B726" t="inlineStr">
        <is>
          <t>avverkningsanmälan</t>
        </is>
      </c>
      <c r="C726" t="inlineStr">
        <is>
          <t>Föryngringsavverkning</t>
        </is>
      </c>
      <c r="D726" s="1" t="n">
        <v>45649</v>
      </c>
      <c r="E726" s="1" t="n">
        <v>46221</v>
      </c>
      <c r="F726" t="inlineStr">
        <is>
          <t>KALMAR LÄN</t>
        </is>
      </c>
      <c r="G726" t="inlineStr">
        <is>
          <t>HULTSFRED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25549-2025</t>
        </is>
      </c>
      <c r="B727" t="inlineStr">
        <is>
          <t>avverkningsanmälan</t>
        </is>
      </c>
      <c r="C727" t="inlineStr">
        <is>
          <t>Föryngringsavverkning</t>
        </is>
      </c>
      <c r="D727" s="1" t="n">
        <v>45803</v>
      </c>
      <c r="E727" s="1" t="n">
        <v>46221</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25550-2025</t>
        </is>
      </c>
      <c r="B728" t="inlineStr">
        <is>
          <t>avverkningsanmälan</t>
        </is>
      </c>
      <c r="C728" t="inlineStr">
        <is>
          <t>Föryngringsavverkning</t>
        </is>
      </c>
      <c r="D728" s="1" t="n">
        <v>45803</v>
      </c>
      <c r="E728" s="1" t="n">
        <v>46221</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14973-2025</t>
        </is>
      </c>
      <c r="B729" t="inlineStr">
        <is>
          <t>avverkningsanmälan</t>
        </is>
      </c>
      <c r="C729" t="inlineStr">
        <is>
          <t>Föryngringsavverkning</t>
        </is>
      </c>
      <c r="D729" s="1" t="n">
        <v>45743</v>
      </c>
      <c r="E729" s="1" t="n">
        <v>46221</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s="2" t="inlineStr"/>
    </row>
    <row r="730" ht="15" customHeight="1">
      <c r="A730" t="inlineStr">
        <is>
          <t>A 3729-2024</t>
        </is>
      </c>
      <c r="B730" t="inlineStr">
        <is>
          <t>avverkningsanmälan</t>
        </is>
      </c>
      <c r="C730" t="inlineStr">
        <is>
          <t>Föryngringsavverkning</t>
        </is>
      </c>
      <c r="D730" s="1" t="n">
        <v>45321</v>
      </c>
      <c r="E730" s="1" t="n">
        <v>46221</v>
      </c>
      <c r="F730" t="inlineStr">
        <is>
          <t>KALMAR LÄN</t>
        </is>
      </c>
      <c r="G730" t="inlineStr">
        <is>
          <t>HULTSFRED</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59235-2024</t>
        </is>
      </c>
      <c r="B731" t="inlineStr">
        <is>
          <t>avverkningsanmälan</t>
        </is>
      </c>
      <c r="C731" t="inlineStr">
        <is>
          <t>Föryngringsavverkning</t>
        </is>
      </c>
      <c r="D731" s="1" t="n">
        <v>45637</v>
      </c>
      <c r="E731" s="1" t="n">
        <v>46221</v>
      </c>
      <c r="F731" t="inlineStr">
        <is>
          <t>KALMAR LÄN</t>
        </is>
      </c>
      <c r="G731" t="inlineStr">
        <is>
          <t>HULTSFRED</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37161-2024</t>
        </is>
      </c>
      <c r="B732" t="inlineStr">
        <is>
          <t>avverkningsanmälan</t>
        </is>
      </c>
      <c r="C732" t="inlineStr">
        <is>
          <t>Föryngringsavverkning</t>
        </is>
      </c>
      <c r="D732" s="1" t="n">
        <v>45539</v>
      </c>
      <c r="E732" s="1" t="n">
        <v>46221</v>
      </c>
      <c r="F732" t="inlineStr">
        <is>
          <t>KALMAR LÄN</t>
        </is>
      </c>
      <c r="G732" t="inlineStr">
        <is>
          <t>HULTSFRED</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46221</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10305-2021</t>
        </is>
      </c>
      <c r="B734" t="inlineStr">
        <is>
          <t>samrådsanmälan</t>
        </is>
      </c>
      <c r="C734" t="inlineStr">
        <is>
          <t>Annan skogsbruksåtgärd</t>
        </is>
      </c>
      <c r="D734" s="1" t="n">
        <v>44546</v>
      </c>
      <c r="E734" s="1" t="n">
        <v>46221</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S 718-2022</t>
        </is>
      </c>
      <c r="B735" t="inlineStr">
        <is>
          <t>samrådsanmälan</t>
        </is>
      </c>
      <c r="C735" t="inlineStr">
        <is>
          <t>Åtgärd i nyckelbiotop</t>
        </is>
      </c>
      <c r="D735" s="1" t="n">
        <v>44600</v>
      </c>
      <c r="E735" s="1" t="n">
        <v>46221</v>
      </c>
      <c r="F735" t="inlineStr">
        <is>
          <t>KALMAR LÄN</t>
        </is>
      </c>
      <c r="G735" t="inlineStr">
        <is>
          <t>HULTSFRED</t>
        </is>
      </c>
      <c r="H735" t="inlineStr">
        <is>
          <t>Kyrkan</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S 234-2022</t>
        </is>
      </c>
      <c r="B736" t="inlineStr">
        <is>
          <t>samrådsanmälan</t>
        </is>
      </c>
      <c r="C736" t="inlineStr">
        <is>
          <t>Annan skogsbruksåtgärd</t>
        </is>
      </c>
      <c r="D736" s="1" t="n">
        <v>44575</v>
      </c>
      <c r="E736" s="1" t="n">
        <v>46221</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S 1790-2022</t>
        </is>
      </c>
      <c r="B737" t="inlineStr">
        <is>
          <t>samrådsanmälan</t>
        </is>
      </c>
      <c r="C737" t="inlineStr">
        <is>
          <t>Annan skogsbruksåtgärd</t>
        </is>
      </c>
      <c r="D737" s="1" t="n">
        <v>44656</v>
      </c>
      <c r="E737" s="1" t="n">
        <v>46221</v>
      </c>
      <c r="F737" t="inlineStr">
        <is>
          <t>KALMAR LÄN</t>
        </is>
      </c>
      <c r="G737" t="inlineStr">
        <is>
          <t>HULTSFRED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S 1522-2022</t>
        </is>
      </c>
      <c r="B738" t="inlineStr">
        <is>
          <t>samrådsanmälan</t>
        </is>
      </c>
      <c r="C738" t="inlineStr">
        <is>
          <t>Traktorväg</t>
        </is>
      </c>
      <c r="D738" s="1" t="n">
        <v>44638</v>
      </c>
      <c r="E738" s="1" t="n">
        <v>46221</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S 2572-2024</t>
        </is>
      </c>
      <c r="B739" t="inlineStr">
        <is>
          <t>samrådsanmälan</t>
        </is>
      </c>
      <c r="C739" t="inlineStr">
        <is>
          <t>Askåterföring</t>
        </is>
      </c>
      <c r="D739" s="1" t="n">
        <v>45476</v>
      </c>
      <c r="E739" s="1" t="n">
        <v>46221</v>
      </c>
      <c r="F739" t="inlineStr">
        <is>
          <t>KALMAR LÄN</t>
        </is>
      </c>
      <c r="G739" t="inlineStr">
        <is>
          <t>HULTSFRED</t>
        </is>
      </c>
      <c r="I739" t="n">
        <v>9.699999999999999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S 2324-2023</t>
        </is>
      </c>
      <c r="B740" t="inlineStr">
        <is>
          <t>samrådsanmälan</t>
        </is>
      </c>
      <c r="C740" t="inlineStr">
        <is>
          <t>Askåterföring</t>
        </is>
      </c>
      <c r="D740" s="1" t="n">
        <v>45106</v>
      </c>
      <c r="E740" s="1" t="n">
        <v>46221</v>
      </c>
      <c r="F740" t="inlineStr">
        <is>
          <t>KALMAR LÄN</t>
        </is>
      </c>
      <c r="G740" t="inlineStr">
        <is>
          <t>HULTSFRED</t>
        </is>
      </c>
      <c r="I740" t="n">
        <v>28.3</v>
      </c>
      <c r="J740" t="n">
        <v>0</v>
      </c>
      <c r="K740" t="n">
        <v>0</v>
      </c>
      <c r="L740" t="n">
        <v>0</v>
      </c>
      <c r="M740" t="n">
        <v>0</v>
      </c>
      <c r="N740" t="n">
        <v>0</v>
      </c>
      <c r="O740" t="n">
        <v>0</v>
      </c>
      <c r="P740" t="n">
        <v>0</v>
      </c>
      <c r="Q740" t="n">
        <v>0</v>
      </c>
      <c r="R740" t="n">
        <v>0</v>
      </c>
      <c r="S740" t="n">
        <v>0</v>
      </c>
      <c r="T740" t="n">
        <v>0</v>
      </c>
      <c r="U740" s="2" t="inlineStr"/>
    </row>
    <row r="741" ht="15" customHeight="1">
      <c r="A741" t="inlineStr">
        <is>
          <t>S 7173-2022</t>
        </is>
      </c>
      <c r="B741" t="inlineStr">
        <is>
          <t>samrådsanmälan</t>
        </is>
      </c>
      <c r="C741" t="inlineStr">
        <is>
          <t>Annan skogsbruksåtgärd</t>
        </is>
      </c>
      <c r="D741" s="1" t="n">
        <v>44916</v>
      </c>
      <c r="E741" s="1" t="n">
        <v>46221</v>
      </c>
      <c r="F741" t="inlineStr">
        <is>
          <t>KALMAR LÄN</t>
        </is>
      </c>
      <c r="G741" t="inlineStr">
        <is>
          <t>HULTSFRED</t>
        </is>
      </c>
      <c r="I741" t="n">
        <v>9.4</v>
      </c>
      <c r="J741" t="n">
        <v>0</v>
      </c>
      <c r="K741" t="n">
        <v>0</v>
      </c>
      <c r="L741" t="n">
        <v>0</v>
      </c>
      <c r="M741" t="n">
        <v>0</v>
      </c>
      <c r="N741" t="n">
        <v>0</v>
      </c>
      <c r="O741" t="n">
        <v>0</v>
      </c>
      <c r="P741" t="n">
        <v>0</v>
      </c>
      <c r="Q741" t="n">
        <v>0</v>
      </c>
      <c r="R741" t="n">
        <v>0</v>
      </c>
      <c r="S741" t="n">
        <v>0</v>
      </c>
      <c r="T741" t="n">
        <v>0</v>
      </c>
      <c r="U741" s="2" t="inlineStr"/>
    </row>
    <row r="742" ht="15" customHeight="1">
      <c r="A742" t="inlineStr">
        <is>
          <t>S 2617-2024</t>
        </is>
      </c>
      <c r="B742" t="inlineStr">
        <is>
          <t>samrådsanmälan</t>
        </is>
      </c>
      <c r="C742" t="inlineStr">
        <is>
          <t>Askåterföring</t>
        </is>
      </c>
      <c r="D742" s="1" t="n">
        <v>45477</v>
      </c>
      <c r="E742" s="1" t="n">
        <v>46221</v>
      </c>
      <c r="F742" t="inlineStr">
        <is>
          <t>KALMAR LÄN</t>
        </is>
      </c>
      <c r="G742" t="inlineStr">
        <is>
          <t>HULTSFRED</t>
        </is>
      </c>
      <c r="I742" t="n">
        <v>21.7</v>
      </c>
      <c r="J742" t="n">
        <v>0</v>
      </c>
      <c r="K742" t="n">
        <v>0</v>
      </c>
      <c r="L742" t="n">
        <v>0</v>
      </c>
      <c r="M742" t="n">
        <v>0</v>
      </c>
      <c r="N742" t="n">
        <v>0</v>
      </c>
      <c r="O742" t="n">
        <v>0</v>
      </c>
      <c r="P742" t="n">
        <v>0</v>
      </c>
      <c r="Q742" t="n">
        <v>0</v>
      </c>
      <c r="R742" t="n">
        <v>0</v>
      </c>
      <c r="S742" t="n">
        <v>0</v>
      </c>
      <c r="T742" t="n">
        <v>0</v>
      </c>
      <c r="U742" s="2" t="inlineStr"/>
    </row>
    <row r="743" ht="15" customHeight="1">
      <c r="A743" t="inlineStr">
        <is>
          <t>S 2615-2024</t>
        </is>
      </c>
      <c r="B743" t="inlineStr">
        <is>
          <t>samrådsanmälan</t>
        </is>
      </c>
      <c r="C743" t="inlineStr">
        <is>
          <t>Askåterföring</t>
        </is>
      </c>
      <c r="D743" s="1" t="n">
        <v>45477</v>
      </c>
      <c r="E743" s="1" t="n">
        <v>46221</v>
      </c>
      <c r="F743" t="inlineStr">
        <is>
          <t>KALMAR LÄN</t>
        </is>
      </c>
      <c r="G743" t="inlineStr">
        <is>
          <t>HULTSFRED</t>
        </is>
      </c>
      <c r="I743" t="n">
        <v>11.6</v>
      </c>
      <c r="J743" t="n">
        <v>0</v>
      </c>
      <c r="K743" t="n">
        <v>0</v>
      </c>
      <c r="L743" t="n">
        <v>0</v>
      </c>
      <c r="M743" t="n">
        <v>0</v>
      </c>
      <c r="N743" t="n">
        <v>0</v>
      </c>
      <c r="O743" t="n">
        <v>0</v>
      </c>
      <c r="P743" t="n">
        <v>0</v>
      </c>
      <c r="Q743" t="n">
        <v>0</v>
      </c>
      <c r="R743" t="n">
        <v>0</v>
      </c>
      <c r="S743" t="n">
        <v>0</v>
      </c>
      <c r="T743" t="n">
        <v>0</v>
      </c>
      <c r="U743" s="2" t="inlineStr"/>
    </row>
    <row r="744" ht="15" customHeight="1">
      <c r="A744" t="inlineStr">
        <is>
          <t>S 2619-2024</t>
        </is>
      </c>
      <c r="B744" t="inlineStr">
        <is>
          <t>samrådsanmälan</t>
        </is>
      </c>
      <c r="C744" t="inlineStr">
        <is>
          <t>Askåterföring</t>
        </is>
      </c>
      <c r="D744" s="1" t="n">
        <v>45477</v>
      </c>
      <c r="E744" s="1" t="n">
        <v>46221</v>
      </c>
      <c r="F744" t="inlineStr">
        <is>
          <t>KALMAR LÄN</t>
        </is>
      </c>
      <c r="G744" t="inlineStr">
        <is>
          <t>HULTSFRED</t>
        </is>
      </c>
      <c r="I744" t="n">
        <v>18.6</v>
      </c>
      <c r="J744" t="n">
        <v>0</v>
      </c>
      <c r="K744" t="n">
        <v>0</v>
      </c>
      <c r="L744" t="n">
        <v>0</v>
      </c>
      <c r="M744" t="n">
        <v>0</v>
      </c>
      <c r="N744" t="n">
        <v>0</v>
      </c>
      <c r="O744" t="n">
        <v>0</v>
      </c>
      <c r="P744" t="n">
        <v>0</v>
      </c>
      <c r="Q744" t="n">
        <v>0</v>
      </c>
      <c r="R744" t="n">
        <v>0</v>
      </c>
      <c r="S744" t="n">
        <v>0</v>
      </c>
      <c r="T744" t="n">
        <v>0</v>
      </c>
      <c r="U744" s="2" t="inlineStr"/>
    </row>
    <row r="745" ht="15" customHeight="1">
      <c r="A745" t="inlineStr">
        <is>
          <t>S 972-2024</t>
        </is>
      </c>
      <c r="B745" t="inlineStr">
        <is>
          <t>samrådsanmälan</t>
        </is>
      </c>
      <c r="C745" t="inlineStr">
        <is>
          <t>Annan skogsbruksåtgärd</t>
        </is>
      </c>
      <c r="D745" s="1" t="n">
        <v>45384</v>
      </c>
      <c r="E745" s="1" t="n">
        <v>46221</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S 4687-2022</t>
        </is>
      </c>
      <c r="B746" t="inlineStr">
        <is>
          <t>samrådsanmälan</t>
        </is>
      </c>
      <c r="C746" t="inlineStr">
        <is>
          <t>Askåterföring</t>
        </is>
      </c>
      <c r="D746" s="1" t="n">
        <v>44796</v>
      </c>
      <c r="E746" s="1" t="n">
        <v>46221</v>
      </c>
      <c r="F746" t="inlineStr">
        <is>
          <t>KALMAR LÄN</t>
        </is>
      </c>
      <c r="G746" t="inlineStr">
        <is>
          <t>HULTSFRED</t>
        </is>
      </c>
      <c r="I746" t="n">
        <v>9.4</v>
      </c>
      <c r="J746" t="n">
        <v>0</v>
      </c>
      <c r="K746" t="n">
        <v>0</v>
      </c>
      <c r="L746" t="n">
        <v>0</v>
      </c>
      <c r="M746" t="n">
        <v>0</v>
      </c>
      <c r="N746" t="n">
        <v>0</v>
      </c>
      <c r="O746" t="n">
        <v>0</v>
      </c>
      <c r="P746" t="n">
        <v>0</v>
      </c>
      <c r="Q746" t="n">
        <v>0</v>
      </c>
      <c r="R746" t="n">
        <v>0</v>
      </c>
      <c r="S746" t="n">
        <v>0</v>
      </c>
      <c r="T746" t="n">
        <v>0</v>
      </c>
      <c r="U746" s="2" t="inlineStr"/>
    </row>
    <row r="747" ht="15" customHeight="1">
      <c r="A747" t="inlineStr">
        <is>
          <t>S 2618-2024</t>
        </is>
      </c>
      <c r="B747" t="inlineStr">
        <is>
          <t>samrådsanmälan</t>
        </is>
      </c>
      <c r="C747" t="inlineStr">
        <is>
          <t>Askåterföring</t>
        </is>
      </c>
      <c r="D747" s="1" t="n">
        <v>45477</v>
      </c>
      <c r="E747" s="1" t="n">
        <v>46221</v>
      </c>
      <c r="F747" t="inlineStr">
        <is>
          <t>KALMAR LÄN</t>
        </is>
      </c>
      <c r="G747" t="inlineStr">
        <is>
          <t>HULTSFRED</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S 5548-2021</t>
        </is>
      </c>
      <c r="B748" t="inlineStr">
        <is>
          <t>samrådsanmälan</t>
        </is>
      </c>
      <c r="C748" t="inlineStr">
        <is>
          <t>Skogsbilväg</t>
        </is>
      </c>
      <c r="D748" s="1" t="n">
        <v>44432</v>
      </c>
      <c r="E748" s="1" t="n">
        <v>46221</v>
      </c>
      <c r="F748" t="inlineStr">
        <is>
          <t>KALMAR LÄN</t>
        </is>
      </c>
      <c r="G748" t="inlineStr">
        <is>
          <t>HULTSFRED</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46221</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46221</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46221</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46221</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46221</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46221</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46221</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46221</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46221</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46221</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46221</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46221</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46221</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46221</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46221</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46221</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46221</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46221</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46221</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2026-07-18T01:19:10Z</dcterms:created>
  <dcterms:modified xmlns:dcterms="http://purl.org/dc/terms/" xmlns:xsi="http://www.w3.org/2001/XMLSchema-instance" xsi:type="dcterms:W3CDTF">2026-07-18T01:19:11Z</dcterms:modified>
</cp:coreProperties>
</file>