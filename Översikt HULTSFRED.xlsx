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45672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45672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45672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45672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45672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45672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45672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45672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45672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45672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45672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45672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45672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45672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45672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45672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45672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45672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45672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45672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45672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45672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45672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45672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45672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45672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45672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45672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45672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45672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45672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45672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45672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45672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45672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45672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45672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45672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45672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45672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45672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45672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45672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45672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45672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45672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45672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45672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45672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45672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45672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45672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45672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45672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45672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45672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45672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45672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45672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45672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22391-2020</t>
        </is>
      </c>
      <c r="B62" s="1" t="n">
        <v>43962</v>
      </c>
      <c r="C62" s="1" t="n">
        <v>45672</v>
      </c>
      <c r="D62" t="inlineStr">
        <is>
          <t>KALMAR LÄN</t>
        </is>
      </c>
      <c r="E62" t="inlineStr">
        <is>
          <t>HULTSFRED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HYPERLINK("https://klasma.github.io/Logging_0860/artfynd/A 22391-2020 artfynd.xlsx", "A 22391-2020")</f>
        <v/>
      </c>
      <c r="T62">
        <f>HYPERLINK("https://klasma.github.io/Logging_0860/kartor/A 22391-2020 karta.png", "A 22391-2020")</f>
        <v/>
      </c>
      <c r="V62">
        <f>HYPERLINK("https://klasma.github.io/Logging_0860/klagomål/A 22391-2020 FSC-klagomål.docx", "A 22391-2020")</f>
        <v/>
      </c>
      <c r="W62">
        <f>HYPERLINK("https://klasma.github.io/Logging_0860/klagomålsmail/A 22391-2020 FSC-klagomål mail.docx", "A 22391-2020")</f>
        <v/>
      </c>
      <c r="X62">
        <f>HYPERLINK("https://klasma.github.io/Logging_0860/tillsyn/A 22391-2020 tillsynsbegäran.docx", "A 22391-2020")</f>
        <v/>
      </c>
      <c r="Y62">
        <f>HYPERLINK("https://klasma.github.io/Logging_0860/tillsynsmail/A 22391-2020 tillsynsbegäran mail.docx", "A 22391-2020")</f>
        <v/>
      </c>
    </row>
    <row r="63" ht="15" customHeight="1">
      <c r="A63" t="inlineStr">
        <is>
          <t>A 36717-2020</t>
        </is>
      </c>
      <c r="B63" s="1" t="n">
        <v>44053</v>
      </c>
      <c r="C63" s="1" t="n">
        <v>45672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HYPERLINK("https://klasma.github.io/Logging_0860/artfynd/A 36717-2020 artfynd.xlsx", "A 36717-2020")</f>
        <v/>
      </c>
      <c r="T63">
        <f>HYPERLINK("https://klasma.github.io/Logging_0860/kartor/A 36717-2020 karta.png", "A 36717-2020")</f>
        <v/>
      </c>
      <c r="V63">
        <f>HYPERLINK("https://klasma.github.io/Logging_0860/klagomål/A 36717-2020 FSC-klagomål.docx", "A 36717-2020")</f>
        <v/>
      </c>
      <c r="W63">
        <f>HYPERLINK("https://klasma.github.io/Logging_0860/klagomålsmail/A 36717-2020 FSC-klagomål mail.docx", "A 36717-2020")</f>
        <v/>
      </c>
      <c r="X63">
        <f>HYPERLINK("https://klasma.github.io/Logging_0860/tillsyn/A 36717-2020 tillsynsbegäran.docx", "A 36717-2020")</f>
        <v/>
      </c>
      <c r="Y63">
        <f>HYPERLINK("https://klasma.github.io/Logging_0860/tillsynsmail/A 36717-2020 tillsynsbegäran mail.docx", "A 36717-2020")</f>
        <v/>
      </c>
    </row>
    <row r="64" ht="15" customHeight="1">
      <c r="A64" t="inlineStr">
        <is>
          <t>A 53706-2020</t>
        </is>
      </c>
      <c r="B64" s="1" t="n">
        <v>44124</v>
      </c>
      <c r="C64" s="1" t="n">
        <v>45672</v>
      </c>
      <c r="D64" t="inlineStr">
        <is>
          <t>KALMAR LÄN</t>
        </is>
      </c>
      <c r="E64" t="inlineStr">
        <is>
          <t>HULTSFRED</t>
        </is>
      </c>
      <c r="G64" t="n">
        <v>2.3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HYPERLINK("https://klasma.github.io/Logging_0860/artfynd/A 53706-2020 artfynd.xlsx", "A 53706-2020")</f>
        <v/>
      </c>
      <c r="T64">
        <f>HYPERLINK("https://klasma.github.io/Logging_0860/kartor/A 53706-2020 karta.png", "A 53706-2020")</f>
        <v/>
      </c>
      <c r="V64">
        <f>HYPERLINK("https://klasma.github.io/Logging_0860/klagomål/A 53706-2020 FSC-klagomål.docx", "A 53706-2020")</f>
        <v/>
      </c>
      <c r="W64">
        <f>HYPERLINK("https://klasma.github.io/Logging_0860/klagomålsmail/A 53706-2020 FSC-klagomål mail.docx", "A 53706-2020")</f>
        <v/>
      </c>
      <c r="X64">
        <f>HYPERLINK("https://klasma.github.io/Logging_0860/tillsyn/A 53706-2020 tillsynsbegäran.docx", "A 53706-2020")</f>
        <v/>
      </c>
      <c r="Y64">
        <f>HYPERLINK("https://klasma.github.io/Logging_0860/tillsynsmail/A 53706-2020 tillsynsbegäran mail.docx", "A 53706-2020")</f>
        <v/>
      </c>
      <c r="Z64">
        <f>HYPERLINK("https://klasma.github.io/Logging_0860/fåglar/A 53706-2020 prioriterade fågelarter.docx", "A 53706-2020")</f>
        <v/>
      </c>
    </row>
    <row r="65" ht="15" customHeight="1">
      <c r="A65" t="inlineStr">
        <is>
          <t>A 62137-2020</t>
        </is>
      </c>
      <c r="B65" s="1" t="n">
        <v>44159</v>
      </c>
      <c r="C65" s="1" t="n">
        <v>45672</v>
      </c>
      <c r="D65" t="inlineStr">
        <is>
          <t>KALMAR LÄN</t>
        </is>
      </c>
      <c r="E65" t="inlineStr">
        <is>
          <t>HULTSFRED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HYPERLINK("https://klasma.github.io/Logging_0860/artfynd/A 62137-2020 artfynd.xlsx", "A 62137-2020")</f>
        <v/>
      </c>
      <c r="T65">
        <f>HYPERLINK("https://klasma.github.io/Logging_0860/kartor/A 62137-2020 karta.png", "A 62137-2020")</f>
        <v/>
      </c>
      <c r="V65">
        <f>HYPERLINK("https://klasma.github.io/Logging_0860/klagomål/A 62137-2020 FSC-klagomål.docx", "A 62137-2020")</f>
        <v/>
      </c>
      <c r="W65">
        <f>HYPERLINK("https://klasma.github.io/Logging_0860/klagomålsmail/A 62137-2020 FSC-klagomål mail.docx", "A 62137-2020")</f>
        <v/>
      </c>
      <c r="X65">
        <f>HYPERLINK("https://klasma.github.io/Logging_0860/tillsyn/A 62137-2020 tillsynsbegäran.docx", "A 62137-2020")</f>
        <v/>
      </c>
      <c r="Y65">
        <f>HYPERLINK("https://klasma.github.io/Logging_0860/tillsynsmail/A 62137-2020 tillsynsbegäran mail.docx", "A 62137-2020")</f>
        <v/>
      </c>
    </row>
    <row r="66" ht="15" customHeight="1">
      <c r="A66" t="inlineStr">
        <is>
          <t>A 67114-2020</t>
        </is>
      </c>
      <c r="B66" s="1" t="n">
        <v>44180</v>
      </c>
      <c r="C66" s="1" t="n">
        <v>45672</v>
      </c>
      <c r="D66" t="inlineStr">
        <is>
          <t>KALMAR LÄN</t>
        </is>
      </c>
      <c r="E66" t="inlineStr">
        <is>
          <t>HULTSFRED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HYPERLINK("https://klasma.github.io/Logging_0860/artfynd/A 67114-2020 artfynd.xlsx", "A 67114-2020")</f>
        <v/>
      </c>
      <c r="T66">
        <f>HYPERLINK("https://klasma.github.io/Logging_0860/kartor/A 67114-2020 karta.png", "A 67114-2020")</f>
        <v/>
      </c>
      <c r="V66">
        <f>HYPERLINK("https://klasma.github.io/Logging_0860/klagomål/A 67114-2020 FSC-klagomål.docx", "A 67114-2020")</f>
        <v/>
      </c>
      <c r="W66">
        <f>HYPERLINK("https://klasma.github.io/Logging_0860/klagomålsmail/A 67114-2020 FSC-klagomål mail.docx", "A 67114-2020")</f>
        <v/>
      </c>
      <c r="X66">
        <f>HYPERLINK("https://klasma.github.io/Logging_0860/tillsyn/A 67114-2020 tillsynsbegäran.docx", "A 67114-2020")</f>
        <v/>
      </c>
      <c r="Y66">
        <f>HYPERLINK("https://klasma.github.io/Logging_0860/tillsynsmail/A 67114-2020 tillsynsbegäran mail.docx", "A 67114-2020")</f>
        <v/>
      </c>
    </row>
    <row r="67" ht="15" customHeight="1">
      <c r="A67" t="inlineStr">
        <is>
          <t>A 16824-2021</t>
        </is>
      </c>
      <c r="B67" s="1" t="n">
        <v>44295</v>
      </c>
      <c r="C67" s="1" t="n">
        <v>45672</v>
      </c>
      <c r="D67" t="inlineStr">
        <is>
          <t>KALMAR LÄN</t>
        </is>
      </c>
      <c r="E67" t="inlineStr">
        <is>
          <t>HULTSFRED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HYPERLINK("https://klasma.github.io/Logging_0860/artfynd/A 16824-2021 artfynd.xlsx", "A 16824-2021")</f>
        <v/>
      </c>
      <c r="T67">
        <f>HYPERLINK("https://klasma.github.io/Logging_0860/kartor/A 16824-2021 karta.png", "A 16824-2021")</f>
        <v/>
      </c>
      <c r="V67">
        <f>HYPERLINK("https://klasma.github.io/Logging_0860/klagomål/A 16824-2021 FSC-klagomål.docx", "A 16824-2021")</f>
        <v/>
      </c>
      <c r="W67">
        <f>HYPERLINK("https://klasma.github.io/Logging_0860/klagomålsmail/A 16824-2021 FSC-klagomål mail.docx", "A 16824-2021")</f>
        <v/>
      </c>
      <c r="X67">
        <f>HYPERLINK("https://klasma.github.io/Logging_0860/tillsyn/A 16824-2021 tillsynsbegäran.docx", "A 16824-2021")</f>
        <v/>
      </c>
      <c r="Y67">
        <f>HYPERLINK("https://klasma.github.io/Logging_0860/tillsynsmail/A 16824-2021 tillsynsbegäran mail.docx", "A 16824-2021")</f>
        <v/>
      </c>
    </row>
    <row r="68" ht="15" customHeight="1">
      <c r="A68" t="inlineStr">
        <is>
          <t>A 24939-2021</t>
        </is>
      </c>
      <c r="B68" s="1" t="n">
        <v>44341</v>
      </c>
      <c r="C68" s="1" t="n">
        <v>45672</v>
      </c>
      <c r="D68" t="inlineStr">
        <is>
          <t>KALMAR LÄN</t>
        </is>
      </c>
      <c r="E68" t="inlineStr">
        <is>
          <t>HULTSFRED</t>
        </is>
      </c>
      <c r="G68" t="n">
        <v>8.6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HYPERLINK("https://klasma.github.io/Logging_0860/artfynd/A 24939-2021 artfynd.xlsx", "A 24939-2021")</f>
        <v/>
      </c>
      <c r="T68">
        <f>HYPERLINK("https://klasma.github.io/Logging_0860/kartor/A 24939-2021 karta.png", "A 24939-2021")</f>
        <v/>
      </c>
      <c r="V68">
        <f>HYPERLINK("https://klasma.github.io/Logging_0860/klagomål/A 24939-2021 FSC-klagomål.docx", "A 24939-2021")</f>
        <v/>
      </c>
      <c r="W68">
        <f>HYPERLINK("https://klasma.github.io/Logging_0860/klagomålsmail/A 24939-2021 FSC-klagomål mail.docx", "A 24939-2021")</f>
        <v/>
      </c>
      <c r="X68">
        <f>HYPERLINK("https://klasma.github.io/Logging_0860/tillsyn/A 24939-2021 tillsynsbegäran.docx", "A 24939-2021")</f>
        <v/>
      </c>
      <c r="Y68">
        <f>HYPERLINK("https://klasma.github.io/Logging_0860/tillsynsmail/A 24939-2021 tillsynsbegäran mail.docx", "A 24939-2021")</f>
        <v/>
      </c>
      <c r="Z68">
        <f>HYPERLINK("https://klasma.github.io/Logging_0860/fåglar/A 24939-2021 prioriterade fågelarter.docx", "A 24939-2021")</f>
        <v/>
      </c>
    </row>
    <row r="69" ht="15" customHeight="1">
      <c r="A69" t="inlineStr">
        <is>
          <t>A 32768-2021</t>
        </is>
      </c>
      <c r="B69" s="1" t="n">
        <v>44375</v>
      </c>
      <c r="C69" s="1" t="n">
        <v>45672</v>
      </c>
      <c r="D69" t="inlineStr">
        <is>
          <t>KALMAR LÄN</t>
        </is>
      </c>
      <c r="E69" t="inlineStr">
        <is>
          <t>HULTSFRED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HYPERLINK("https://klasma.github.io/Logging_0860/artfynd/A 32768-2021 artfynd.xlsx", "A 32768-2021")</f>
        <v/>
      </c>
      <c r="T69">
        <f>HYPERLINK("https://klasma.github.io/Logging_0860/kartor/A 32768-2021 karta.png", "A 32768-2021")</f>
        <v/>
      </c>
      <c r="V69">
        <f>HYPERLINK("https://klasma.github.io/Logging_0860/klagomål/A 32768-2021 FSC-klagomål.docx", "A 32768-2021")</f>
        <v/>
      </c>
      <c r="W69">
        <f>HYPERLINK("https://klasma.github.io/Logging_0860/klagomålsmail/A 32768-2021 FSC-klagomål mail.docx", "A 32768-2021")</f>
        <v/>
      </c>
      <c r="X69">
        <f>HYPERLINK("https://klasma.github.io/Logging_0860/tillsyn/A 32768-2021 tillsynsbegäran.docx", "A 32768-2021")</f>
        <v/>
      </c>
      <c r="Y69">
        <f>HYPERLINK("https://klasma.github.io/Logging_0860/tillsynsmail/A 32768-2021 tillsynsbegäran mail.docx", "A 32768-2021")</f>
        <v/>
      </c>
    </row>
    <row r="70" ht="15" customHeight="1">
      <c r="A70" t="inlineStr">
        <is>
          <t>A 37346-2021</t>
        </is>
      </c>
      <c r="B70" s="1" t="n">
        <v>44397</v>
      </c>
      <c r="C70" s="1" t="n">
        <v>45672</v>
      </c>
      <c r="D70" t="inlineStr">
        <is>
          <t>KALMAR LÄN</t>
        </is>
      </c>
      <c r="E70" t="inlineStr">
        <is>
          <t>HULTSFRED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37346-2021 artfynd.xlsx", "A 37346-2021")</f>
        <v/>
      </c>
      <c r="T70">
        <f>HYPERLINK("https://klasma.github.io/Logging_0860/kartor/A 37346-2021 karta.png", "A 37346-2021")</f>
        <v/>
      </c>
      <c r="U70">
        <f>HYPERLINK("https://klasma.github.io/Logging_0860/knärot/A 37346-2021 karta knärot.png", "A 37346-2021")</f>
        <v/>
      </c>
      <c r="V70">
        <f>HYPERLINK("https://klasma.github.io/Logging_0860/klagomål/A 37346-2021 FSC-klagomål.docx", "A 37346-2021")</f>
        <v/>
      </c>
      <c r="W70">
        <f>HYPERLINK("https://klasma.github.io/Logging_0860/klagomålsmail/A 37346-2021 FSC-klagomål mail.docx", "A 37346-2021")</f>
        <v/>
      </c>
      <c r="X70">
        <f>HYPERLINK("https://klasma.github.io/Logging_0860/tillsyn/A 37346-2021 tillsynsbegäran.docx", "A 37346-2021")</f>
        <v/>
      </c>
      <c r="Y70">
        <f>HYPERLINK("https://klasma.github.io/Logging_0860/tillsynsmail/A 37346-2021 tillsynsbegäran mail.docx", "A 37346-2021")</f>
        <v/>
      </c>
    </row>
    <row r="71" ht="15" customHeight="1">
      <c r="A71" t="inlineStr">
        <is>
          <t>A 39875-2021</t>
        </is>
      </c>
      <c r="B71" s="1" t="n">
        <v>44417</v>
      </c>
      <c r="C71" s="1" t="n">
        <v>45672</v>
      </c>
      <c r="D71" t="inlineStr">
        <is>
          <t>KALMAR LÄN</t>
        </is>
      </c>
      <c r="E71" t="inlineStr">
        <is>
          <t>HULTSFRED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39875-2021 artfynd.xlsx", "A 39875-2021")</f>
        <v/>
      </c>
      <c r="T71">
        <f>HYPERLINK("https://klasma.github.io/Logging_0860/kartor/A 39875-2021 karta.png", "A 39875-2021")</f>
        <v/>
      </c>
      <c r="V71">
        <f>HYPERLINK("https://klasma.github.io/Logging_0860/klagomål/A 39875-2021 FSC-klagomål.docx", "A 39875-2021")</f>
        <v/>
      </c>
      <c r="W71">
        <f>HYPERLINK("https://klasma.github.io/Logging_0860/klagomålsmail/A 39875-2021 FSC-klagomål mail.docx", "A 39875-2021")</f>
        <v/>
      </c>
      <c r="X71">
        <f>HYPERLINK("https://klasma.github.io/Logging_0860/tillsyn/A 39875-2021 tillsynsbegäran.docx", "A 39875-2021")</f>
        <v/>
      </c>
      <c r="Y71">
        <f>HYPERLINK("https://klasma.github.io/Logging_0860/tillsynsmail/A 39875-2021 tillsynsbegäran mail.docx", "A 39875-2021")</f>
        <v/>
      </c>
      <c r="Z71">
        <f>HYPERLINK("https://klasma.github.io/Logging_0860/fåglar/A 39875-2021 prioriterade fågelarter.docx", "A 39875-2021")</f>
        <v/>
      </c>
    </row>
    <row r="72" ht="15" customHeight="1">
      <c r="A72" t="inlineStr">
        <is>
          <t>A 49919-2021</t>
        </is>
      </c>
      <c r="B72" s="1" t="n">
        <v>44455</v>
      </c>
      <c r="C72" s="1" t="n">
        <v>45672</v>
      </c>
      <c r="D72" t="inlineStr">
        <is>
          <t>KALMAR LÄN</t>
        </is>
      </c>
      <c r="E72" t="inlineStr">
        <is>
          <t>HULTSFRED</t>
        </is>
      </c>
      <c r="G72" t="n">
        <v>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Småjungfrukam</t>
        </is>
      </c>
      <c r="S72">
        <f>HYPERLINK("https://klasma.github.io/Logging_0860/artfynd/A 49919-2021 artfynd.xlsx", "A 49919-2021")</f>
        <v/>
      </c>
      <c r="T72">
        <f>HYPERLINK("https://klasma.github.io/Logging_0860/kartor/A 49919-2021 karta.png", "A 49919-2021")</f>
        <v/>
      </c>
      <c r="V72">
        <f>HYPERLINK("https://klasma.github.io/Logging_0860/klagomål/A 49919-2021 FSC-klagomål.docx", "A 49919-2021")</f>
        <v/>
      </c>
      <c r="W72">
        <f>HYPERLINK("https://klasma.github.io/Logging_0860/klagomålsmail/A 49919-2021 FSC-klagomål mail.docx", "A 49919-2021")</f>
        <v/>
      </c>
      <c r="X72">
        <f>HYPERLINK("https://klasma.github.io/Logging_0860/tillsyn/A 49919-2021 tillsynsbegäran.docx", "A 49919-2021")</f>
        <v/>
      </c>
      <c r="Y72">
        <f>HYPERLINK("https://klasma.github.io/Logging_0860/tillsynsmail/A 49919-2021 tillsynsbegäran mail.docx", "A 49919-2021")</f>
        <v/>
      </c>
    </row>
    <row r="73" ht="15" customHeight="1">
      <c r="A73" t="inlineStr">
        <is>
          <t>A 66724-2021</t>
        </is>
      </c>
      <c r="B73" s="1" t="n">
        <v>44520</v>
      </c>
      <c r="C73" s="1" t="n">
        <v>45672</v>
      </c>
      <c r="D73" t="inlineStr">
        <is>
          <t>KALMAR LÄN</t>
        </is>
      </c>
      <c r="E73" t="inlineStr">
        <is>
          <t>HULTSFRED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HYPERLINK("https://klasma.github.io/Logging_0860/artfynd/A 66724-2021 artfynd.xlsx", "A 66724-2021")</f>
        <v/>
      </c>
      <c r="T73">
        <f>HYPERLINK("https://klasma.github.io/Logging_0860/kartor/A 66724-2021 karta.png", "A 66724-2021")</f>
        <v/>
      </c>
      <c r="V73">
        <f>HYPERLINK("https://klasma.github.io/Logging_0860/klagomål/A 66724-2021 FSC-klagomål.docx", "A 66724-2021")</f>
        <v/>
      </c>
      <c r="W73">
        <f>HYPERLINK("https://klasma.github.io/Logging_0860/klagomålsmail/A 66724-2021 FSC-klagomål mail.docx", "A 66724-2021")</f>
        <v/>
      </c>
      <c r="X73">
        <f>HYPERLINK("https://klasma.github.io/Logging_0860/tillsyn/A 66724-2021 tillsynsbegäran.docx", "A 66724-2021")</f>
        <v/>
      </c>
      <c r="Y73">
        <f>HYPERLINK("https://klasma.github.io/Logging_0860/tillsynsmail/A 66724-2021 tillsynsbegäran mail.docx", "A 66724-2021")</f>
        <v/>
      </c>
    </row>
    <row r="74" ht="15" customHeight="1">
      <c r="A74" t="inlineStr">
        <is>
          <t>A 66847-2021</t>
        </is>
      </c>
      <c r="B74" s="1" t="n">
        <v>44522</v>
      </c>
      <c r="C74" s="1" t="n">
        <v>45672</v>
      </c>
      <c r="D74" t="inlineStr">
        <is>
          <t>KALMAR LÄN</t>
        </is>
      </c>
      <c r="E74" t="inlineStr">
        <is>
          <t>HULTSFRED</t>
        </is>
      </c>
      <c r="G74" t="n">
        <v>7.4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HYPERLINK("https://klasma.github.io/Logging_0860/artfynd/A 66847-2021 artfynd.xlsx", "A 66847-2021")</f>
        <v/>
      </c>
      <c r="T74">
        <f>HYPERLINK("https://klasma.github.io/Logging_0860/kartor/A 66847-2021 karta.png", "A 66847-2021")</f>
        <v/>
      </c>
      <c r="V74">
        <f>HYPERLINK("https://klasma.github.io/Logging_0860/klagomål/A 66847-2021 FSC-klagomål.docx", "A 66847-2021")</f>
        <v/>
      </c>
      <c r="W74">
        <f>HYPERLINK("https://klasma.github.io/Logging_0860/klagomålsmail/A 66847-2021 FSC-klagomål mail.docx", "A 66847-2021")</f>
        <v/>
      </c>
      <c r="X74">
        <f>HYPERLINK("https://klasma.github.io/Logging_0860/tillsyn/A 66847-2021 tillsynsbegäran.docx", "A 66847-2021")</f>
        <v/>
      </c>
      <c r="Y74">
        <f>HYPERLINK("https://klasma.github.io/Logging_0860/tillsynsmail/A 66847-2021 tillsynsbegäran mail.docx", "A 66847-2021")</f>
        <v/>
      </c>
    </row>
    <row r="75" ht="15" customHeight="1">
      <c r="A75" t="inlineStr">
        <is>
          <t>A 68096-2021</t>
        </is>
      </c>
      <c r="B75" s="1" t="n">
        <v>44526</v>
      </c>
      <c r="C75" s="1" t="n">
        <v>45672</v>
      </c>
      <c r="D75" t="inlineStr">
        <is>
          <t>KALMAR LÄN</t>
        </is>
      </c>
      <c r="E75" t="inlineStr">
        <is>
          <t>HULTSFRED</t>
        </is>
      </c>
      <c r="G75" t="n">
        <v>5.8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68096-2021 artfynd.xlsx", "A 68096-2021")</f>
        <v/>
      </c>
      <c r="T75">
        <f>HYPERLINK("https://klasma.github.io/Logging_0860/kartor/A 68096-2021 karta.png", "A 68096-2021")</f>
        <v/>
      </c>
      <c r="U75">
        <f>HYPERLINK("https://klasma.github.io/Logging_0860/knärot/A 68096-2021 karta knärot.png", "A 68096-2021")</f>
        <v/>
      </c>
      <c r="V75">
        <f>HYPERLINK("https://klasma.github.io/Logging_0860/klagomål/A 68096-2021 FSC-klagomål.docx", "A 68096-2021")</f>
        <v/>
      </c>
      <c r="W75">
        <f>HYPERLINK("https://klasma.github.io/Logging_0860/klagomålsmail/A 68096-2021 FSC-klagomål mail.docx", "A 68096-2021")</f>
        <v/>
      </c>
      <c r="X75">
        <f>HYPERLINK("https://klasma.github.io/Logging_0860/tillsyn/A 68096-2021 tillsynsbegäran.docx", "A 68096-2021")</f>
        <v/>
      </c>
      <c r="Y75">
        <f>HYPERLINK("https://klasma.github.io/Logging_0860/tillsynsmail/A 68096-2021 tillsynsbegäran mail.docx", "A 68096-2021")</f>
        <v/>
      </c>
    </row>
    <row r="76" ht="15" customHeight="1">
      <c r="A76" t="inlineStr">
        <is>
          <t>A 53862-2022</t>
        </is>
      </c>
      <c r="B76" s="1" t="n">
        <v>44876</v>
      </c>
      <c r="C76" s="1" t="n">
        <v>45672</v>
      </c>
      <c r="D76" t="inlineStr">
        <is>
          <t>KALMAR LÄN</t>
        </is>
      </c>
      <c r="E76" t="inlineStr">
        <is>
          <t>HULTSFRED</t>
        </is>
      </c>
      <c r="F76" t="inlineStr">
        <is>
          <t>Kommuner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53862-2022 artfynd.xlsx", "A 53862-2022")</f>
        <v/>
      </c>
      <c r="T76">
        <f>HYPERLINK("https://klasma.github.io/Logging_0860/kartor/A 53862-2022 karta.png", "A 53862-2022")</f>
        <v/>
      </c>
      <c r="V76">
        <f>HYPERLINK("https://klasma.github.io/Logging_0860/klagomål/A 53862-2022 FSC-klagomål.docx", "A 53862-2022")</f>
        <v/>
      </c>
      <c r="W76">
        <f>HYPERLINK("https://klasma.github.io/Logging_0860/klagomålsmail/A 53862-2022 FSC-klagomål mail.docx", "A 53862-2022")</f>
        <v/>
      </c>
      <c r="X76">
        <f>HYPERLINK("https://klasma.github.io/Logging_0860/tillsyn/A 53862-2022 tillsynsbegäran.docx", "A 53862-2022")</f>
        <v/>
      </c>
      <c r="Y76">
        <f>HYPERLINK("https://klasma.github.io/Logging_0860/tillsynsmail/A 53862-2022 tillsynsbegäran mail.docx", "A 53862-2022")</f>
        <v/>
      </c>
    </row>
    <row r="77" ht="15" customHeight="1">
      <c r="A77" t="inlineStr">
        <is>
          <t>A 54675-2022</t>
        </is>
      </c>
      <c r="B77" s="1" t="n">
        <v>44883</v>
      </c>
      <c r="C77" s="1" t="n">
        <v>45672</v>
      </c>
      <c r="D77" t="inlineStr">
        <is>
          <t>KALMAR LÄN</t>
        </is>
      </c>
      <c r="E77" t="inlineStr">
        <is>
          <t>HULTSFRED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54675-2022 artfynd.xlsx", "A 54675-2022")</f>
        <v/>
      </c>
      <c r="T77">
        <f>HYPERLINK("https://klasma.github.io/Logging_0860/kartor/A 54675-2022 karta.png", "A 54675-2022")</f>
        <v/>
      </c>
      <c r="V77">
        <f>HYPERLINK("https://klasma.github.io/Logging_0860/klagomål/A 54675-2022 FSC-klagomål.docx", "A 54675-2022")</f>
        <v/>
      </c>
      <c r="W77">
        <f>HYPERLINK("https://klasma.github.io/Logging_0860/klagomålsmail/A 54675-2022 FSC-klagomål mail.docx", "A 54675-2022")</f>
        <v/>
      </c>
      <c r="X77">
        <f>HYPERLINK("https://klasma.github.io/Logging_0860/tillsyn/A 54675-2022 tillsynsbegäran.docx", "A 54675-2022")</f>
        <v/>
      </c>
      <c r="Y77">
        <f>HYPERLINK("https://klasma.github.io/Logging_0860/tillsynsmail/A 54675-2022 tillsynsbegäran mail.docx", "A 54675-2022")</f>
        <v/>
      </c>
      <c r="Z77">
        <f>HYPERLINK("https://klasma.github.io/Logging_0860/fåglar/A 54675-2022 prioriterade fågelarter.docx", "A 54675-2022")</f>
        <v/>
      </c>
    </row>
    <row r="78" ht="15" customHeight="1">
      <c r="A78" t="inlineStr">
        <is>
          <t>A 141-2023</t>
        </is>
      </c>
      <c r="B78" s="1" t="n">
        <v>44928</v>
      </c>
      <c r="C78" s="1" t="n">
        <v>45672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7.6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HYPERLINK("https://klasma.github.io/Logging_0860/artfynd/A 141-2023 artfynd.xlsx", "A 141-2023")</f>
        <v/>
      </c>
      <c r="T78">
        <f>HYPERLINK("https://klasma.github.io/Logging_0860/kartor/A 141-2023 karta.png", "A 141-2023")</f>
        <v/>
      </c>
      <c r="V78">
        <f>HYPERLINK("https://klasma.github.io/Logging_0860/klagomål/A 141-2023 FSC-klagomål.docx", "A 141-2023")</f>
        <v/>
      </c>
      <c r="W78">
        <f>HYPERLINK("https://klasma.github.io/Logging_0860/klagomålsmail/A 141-2023 FSC-klagomål mail.docx", "A 141-2023")</f>
        <v/>
      </c>
      <c r="X78">
        <f>HYPERLINK("https://klasma.github.io/Logging_0860/tillsyn/A 141-2023 tillsynsbegäran.docx", "A 141-2023")</f>
        <v/>
      </c>
      <c r="Y78">
        <f>HYPERLINK("https://klasma.github.io/Logging_0860/tillsynsmail/A 141-2023 tillsynsbegäran mail.docx", "A 141-2023")</f>
        <v/>
      </c>
    </row>
    <row r="79" ht="15" customHeight="1">
      <c r="A79" t="inlineStr">
        <is>
          <t>A 2637-2023</t>
        </is>
      </c>
      <c r="B79" s="1" t="n">
        <v>44942</v>
      </c>
      <c r="C79" s="1" t="n">
        <v>45672</v>
      </c>
      <c r="D79" t="inlineStr">
        <is>
          <t>KALMAR LÄN</t>
        </is>
      </c>
      <c r="E79" t="inlineStr">
        <is>
          <t>HULTSFRED</t>
        </is>
      </c>
      <c r="G79" t="n">
        <v>13.1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HYPERLINK("https://klasma.github.io/Logging_0860/artfynd/A 2637-2023 artfynd.xlsx", "A 2637-2023")</f>
        <v/>
      </c>
      <c r="T79">
        <f>HYPERLINK("https://klasma.github.io/Logging_0860/kartor/A 2637-2023 karta.png", "A 2637-2023")</f>
        <v/>
      </c>
      <c r="V79">
        <f>HYPERLINK("https://klasma.github.io/Logging_0860/klagomål/A 2637-2023 FSC-klagomål.docx", "A 2637-2023")</f>
        <v/>
      </c>
      <c r="W79">
        <f>HYPERLINK("https://klasma.github.io/Logging_0860/klagomålsmail/A 2637-2023 FSC-klagomål mail.docx", "A 2637-2023")</f>
        <v/>
      </c>
      <c r="X79">
        <f>HYPERLINK("https://klasma.github.io/Logging_0860/tillsyn/A 2637-2023 tillsynsbegäran.docx", "A 2637-2023")</f>
        <v/>
      </c>
      <c r="Y79">
        <f>HYPERLINK("https://klasma.github.io/Logging_0860/tillsynsmail/A 2637-2023 tillsynsbegäran mail.docx", "A 2637-2023")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45672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45672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45672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45672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45672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45672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45672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45672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45672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45672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45672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45672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45672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45672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45672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45672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45672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45672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45672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45672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45672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45672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45672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45672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45672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45672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45672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45672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45672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45672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45672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45672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45672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45672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45672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45672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58470-2024</t>
        </is>
      </c>
      <c r="B116" s="1" t="n">
        <v>45635</v>
      </c>
      <c r="C116" s="1" t="n">
        <v>45672</v>
      </c>
      <c r="D116" t="inlineStr">
        <is>
          <t>KALMAR LÄN</t>
        </is>
      </c>
      <c r="E116" t="inlineStr">
        <is>
          <t>HULTSFRED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Guldlockmossa</t>
        </is>
      </c>
      <c r="S116">
        <f>HYPERLINK("https://klasma.github.io/Logging_0860/artfynd/A 58470-2024 artfynd.xlsx", "A 58470-2024")</f>
        <v/>
      </c>
      <c r="T116">
        <f>HYPERLINK("https://klasma.github.io/Logging_0860/kartor/A 58470-2024 karta.png", "A 58470-2024")</f>
        <v/>
      </c>
      <c r="V116">
        <f>HYPERLINK("https://klasma.github.io/Logging_0860/klagomål/A 58470-2024 FSC-klagomål.docx", "A 58470-2024")</f>
        <v/>
      </c>
      <c r="W116">
        <f>HYPERLINK("https://klasma.github.io/Logging_0860/klagomålsmail/A 58470-2024 FSC-klagomål mail.docx", "A 58470-2024")</f>
        <v/>
      </c>
      <c r="X116">
        <f>HYPERLINK("https://klasma.github.io/Logging_0860/tillsyn/A 58470-2024 tillsynsbegäran.docx", "A 58470-2024")</f>
        <v/>
      </c>
      <c r="Y116">
        <f>HYPERLINK("https://klasma.github.io/Logging_0860/tillsynsmail/A 58470-2024 tillsynsbegäran mail.docx", "A 58470-2024")</f>
        <v/>
      </c>
    </row>
    <row r="117" ht="15" customHeight="1">
      <c r="A117" t="inlineStr">
        <is>
          <t>A 17715-2019</t>
        </is>
      </c>
      <c r="B117" s="1" t="n">
        <v>43556</v>
      </c>
      <c r="C117" s="1" t="n">
        <v>45672</v>
      </c>
      <c r="D117" t="inlineStr">
        <is>
          <t>KALMAR LÄN</t>
        </is>
      </c>
      <c r="E117" t="inlineStr">
        <is>
          <t>HULTSFRED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18259-2019</t>
        </is>
      </c>
      <c r="B118" s="1" t="n">
        <v>43557</v>
      </c>
      <c r="C118" s="1" t="n">
        <v>45672</v>
      </c>
      <c r="D118" t="inlineStr">
        <is>
          <t>KALMAR LÄN</t>
        </is>
      </c>
      <c r="E118" t="inlineStr">
        <is>
          <t>HULTSFRED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18251-2019</t>
        </is>
      </c>
      <c r="B119" s="1" t="n">
        <v>43558</v>
      </c>
      <c r="C119" s="1" t="n">
        <v>45672</v>
      </c>
      <c r="D119" t="inlineStr">
        <is>
          <t>KALMAR LÄN</t>
        </is>
      </c>
      <c r="E119" t="inlineStr">
        <is>
          <t>HULTSFRED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19314-2019</t>
        </is>
      </c>
      <c r="B120" s="1" t="n">
        <v>43565</v>
      </c>
      <c r="C120" s="1" t="n">
        <v>45672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20259-2019</t>
        </is>
      </c>
      <c r="B121" s="1" t="n">
        <v>43570</v>
      </c>
      <c r="C121" s="1" t="n">
        <v>45672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20223-2019</t>
        </is>
      </c>
      <c r="B122" s="1" t="n">
        <v>43571</v>
      </c>
      <c r="C122" s="1" t="n">
        <v>45672</v>
      </c>
      <c r="D122" t="inlineStr">
        <is>
          <t>KALMAR LÄN</t>
        </is>
      </c>
      <c r="E122" t="inlineStr">
        <is>
          <t>HULTSFRED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20564-2019</t>
        </is>
      </c>
      <c r="B123" s="1" t="n">
        <v>43572</v>
      </c>
      <c r="C123" s="1" t="n">
        <v>45672</v>
      </c>
      <c r="D123" t="inlineStr">
        <is>
          <t>KALMAR LÄN</t>
        </is>
      </c>
      <c r="E123" t="inlineStr">
        <is>
          <t>HULTSFRED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21008-2019</t>
        </is>
      </c>
      <c r="B124" s="1" t="n">
        <v>43578</v>
      </c>
      <c r="C124" s="1" t="n">
        <v>45672</v>
      </c>
      <c r="D124" t="inlineStr">
        <is>
          <t>KALMAR LÄN</t>
        </is>
      </c>
      <c r="E124" t="inlineStr">
        <is>
          <t>HULTSFRED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21366-2019</t>
        </is>
      </c>
      <c r="B125" s="1" t="n">
        <v>43579</v>
      </c>
      <c r="C125" s="1" t="n">
        <v>45672</v>
      </c>
      <c r="D125" t="inlineStr">
        <is>
          <t>KALMAR LÄN</t>
        </is>
      </c>
      <c r="E125" t="inlineStr">
        <is>
          <t>HULTSFRED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21868-2019</t>
        </is>
      </c>
      <c r="B126" s="1" t="n">
        <v>43584</v>
      </c>
      <c r="C126" s="1" t="n">
        <v>45672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22055-2019</t>
        </is>
      </c>
      <c r="B127" s="1" t="n">
        <v>43584</v>
      </c>
      <c r="C127" s="1" t="n">
        <v>45672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21940-2019</t>
        </is>
      </c>
      <c r="B128" s="1" t="n">
        <v>43584</v>
      </c>
      <c r="C128" s="1" t="n">
        <v>45672</v>
      </c>
      <c r="D128" t="inlineStr">
        <is>
          <t>KALMAR LÄN</t>
        </is>
      </c>
      <c r="E128" t="inlineStr">
        <is>
          <t>HULTSFRED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21932-2019</t>
        </is>
      </c>
      <c r="B129" s="1" t="n">
        <v>43584</v>
      </c>
      <c r="C129" s="1" t="n">
        <v>45672</v>
      </c>
      <c r="D129" t="inlineStr">
        <is>
          <t>KALMAR LÄN</t>
        </is>
      </c>
      <c r="E129" t="inlineStr">
        <is>
          <t>HULTSFRED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21861-2019</t>
        </is>
      </c>
      <c r="B130" s="1" t="n">
        <v>43584</v>
      </c>
      <c r="C130" s="1" t="n">
        <v>45672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22154-2019</t>
        </is>
      </c>
      <c r="B131" s="1" t="n">
        <v>43585</v>
      </c>
      <c r="C131" s="1" t="n">
        <v>45672</v>
      </c>
      <c r="D131" t="inlineStr">
        <is>
          <t>KALMAR LÄN</t>
        </is>
      </c>
      <c r="E131" t="inlineStr">
        <is>
          <t>HULTSFRED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22518-2019</t>
        </is>
      </c>
      <c r="B132" s="1" t="n">
        <v>43587</v>
      </c>
      <c r="C132" s="1" t="n">
        <v>45672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23178-2019</t>
        </is>
      </c>
      <c r="B133" s="1" t="n">
        <v>43587</v>
      </c>
      <c r="C133" s="1" t="n">
        <v>45672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23421-2019</t>
        </is>
      </c>
      <c r="B134" s="1" t="n">
        <v>43593</v>
      </c>
      <c r="C134" s="1" t="n">
        <v>45672</v>
      </c>
      <c r="D134" t="inlineStr">
        <is>
          <t>KALMAR LÄN</t>
        </is>
      </c>
      <c r="E134" t="inlineStr">
        <is>
          <t>HULTSFRED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23841-2019</t>
        </is>
      </c>
      <c r="B135" s="1" t="n">
        <v>43595</v>
      </c>
      <c r="C135" s="1" t="n">
        <v>45672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25282-2019</t>
        </is>
      </c>
      <c r="B136" s="1" t="n">
        <v>43605</v>
      </c>
      <c r="C136" s="1" t="n">
        <v>45672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25281-2019</t>
        </is>
      </c>
      <c r="B137" s="1" t="n">
        <v>43605</v>
      </c>
      <c r="C137" s="1" t="n">
        <v>45672</v>
      </c>
      <c r="D137" t="inlineStr">
        <is>
          <t>KALMAR LÄN</t>
        </is>
      </c>
      <c r="E137" t="inlineStr">
        <is>
          <t>HULTSFRED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28816-2019</t>
        </is>
      </c>
      <c r="B138" s="1" t="n">
        <v>43627</v>
      </c>
      <c r="C138" s="1" t="n">
        <v>45672</v>
      </c>
      <c r="D138" t="inlineStr">
        <is>
          <t>KALMAR LÄN</t>
        </is>
      </c>
      <c r="E138" t="inlineStr">
        <is>
          <t>HULTSFRED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29068-2019</t>
        </is>
      </c>
      <c r="B139" s="1" t="n">
        <v>43628</v>
      </c>
      <c r="C139" s="1" t="n">
        <v>45672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29070-2019</t>
        </is>
      </c>
      <c r="B140" s="1" t="n">
        <v>43628</v>
      </c>
      <c r="C140" s="1" t="n">
        <v>45672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29067-2019</t>
        </is>
      </c>
      <c r="B141" s="1" t="n">
        <v>43628</v>
      </c>
      <c r="C141" s="1" t="n">
        <v>45672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30114-2019</t>
        </is>
      </c>
      <c r="B142" s="1" t="n">
        <v>43633</v>
      </c>
      <c r="C142" s="1" t="n">
        <v>45672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30362-2019</t>
        </is>
      </c>
      <c r="B143" s="1" t="n">
        <v>43634</v>
      </c>
      <c r="C143" s="1" t="n">
        <v>45672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30366-2019</t>
        </is>
      </c>
      <c r="B144" s="1" t="n">
        <v>43634</v>
      </c>
      <c r="C144" s="1" t="n">
        <v>45672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30513-2019</t>
        </is>
      </c>
      <c r="B145" s="1" t="n">
        <v>43635</v>
      </c>
      <c r="C145" s="1" t="n">
        <v>45672</v>
      </c>
      <c r="D145" t="inlineStr">
        <is>
          <t>KALMAR LÄN</t>
        </is>
      </c>
      <c r="E145" t="inlineStr">
        <is>
          <t>HULTSFRED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30517-2019</t>
        </is>
      </c>
      <c r="B146" s="1" t="n">
        <v>43635</v>
      </c>
      <c r="C146" s="1" t="n">
        <v>45672</v>
      </c>
      <c r="D146" t="inlineStr">
        <is>
          <t>KALMAR LÄN</t>
        </is>
      </c>
      <c r="E146" t="inlineStr">
        <is>
          <t>HULTSFRED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31020-2019</t>
        </is>
      </c>
      <c r="B147" s="1" t="n">
        <v>43640</v>
      </c>
      <c r="C147" s="1" t="n">
        <v>45672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31023-2019</t>
        </is>
      </c>
      <c r="B148" s="1" t="n">
        <v>43640</v>
      </c>
      <c r="C148" s="1" t="n">
        <v>45672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31863-2019</t>
        </is>
      </c>
      <c r="B149" s="1" t="n">
        <v>43641</v>
      </c>
      <c r="C149" s="1" t="n">
        <v>45672</v>
      </c>
      <c r="D149" t="inlineStr">
        <is>
          <t>KALMAR LÄN</t>
        </is>
      </c>
      <c r="E149" t="inlineStr">
        <is>
          <t>HULTSFRED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31665-2019</t>
        </is>
      </c>
      <c r="B150" s="1" t="n">
        <v>43642</v>
      </c>
      <c r="C150" s="1" t="n">
        <v>45672</v>
      </c>
      <c r="D150" t="inlineStr">
        <is>
          <t>KALMAR LÄN</t>
        </is>
      </c>
      <c r="E150" t="inlineStr">
        <is>
          <t>HULTSFRED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32010-2019</t>
        </is>
      </c>
      <c r="B151" s="1" t="n">
        <v>43643</v>
      </c>
      <c r="C151" s="1" t="n">
        <v>45672</v>
      </c>
      <c r="D151" t="inlineStr">
        <is>
          <t>KALMAR LÄN</t>
        </is>
      </c>
      <c r="E151" t="inlineStr">
        <is>
          <t>HULTSFRED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32384-2019</t>
        </is>
      </c>
      <c r="B152" s="1" t="n">
        <v>43644</v>
      </c>
      <c r="C152" s="1" t="n">
        <v>45672</v>
      </c>
      <c r="D152" t="inlineStr">
        <is>
          <t>KALMAR LÄN</t>
        </is>
      </c>
      <c r="E152" t="inlineStr">
        <is>
          <t>HULTSFRED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32715-2019</t>
        </is>
      </c>
      <c r="B153" s="1" t="n">
        <v>43647</v>
      </c>
      <c r="C153" s="1" t="n">
        <v>45672</v>
      </c>
      <c r="D153" t="inlineStr">
        <is>
          <t>KALMAR LÄN</t>
        </is>
      </c>
      <c r="E153" t="inlineStr">
        <is>
          <t>HULTSFRED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33989-2019</t>
        </is>
      </c>
      <c r="B154" s="1" t="n">
        <v>43654</v>
      </c>
      <c r="C154" s="1" t="n">
        <v>45672</v>
      </c>
      <c r="D154" t="inlineStr">
        <is>
          <t>KALMAR LÄN</t>
        </is>
      </c>
      <c r="E154" t="inlineStr">
        <is>
          <t>HULTSFRED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34416-2019</t>
        </is>
      </c>
      <c r="B155" s="1" t="n">
        <v>43656</v>
      </c>
      <c r="C155" s="1" t="n">
        <v>45672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34868-2019</t>
        </is>
      </c>
      <c r="B156" s="1" t="n">
        <v>43658</v>
      </c>
      <c r="C156" s="1" t="n">
        <v>45672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35123-2019</t>
        </is>
      </c>
      <c r="B157" s="1" t="n">
        <v>43661</v>
      </c>
      <c r="C157" s="1" t="n">
        <v>45672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35890-2019</t>
        </is>
      </c>
      <c r="B158" s="1" t="n">
        <v>43665</v>
      </c>
      <c r="C158" s="1" t="n">
        <v>45672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35884-2019</t>
        </is>
      </c>
      <c r="B159" s="1" t="n">
        <v>43665</v>
      </c>
      <c r="C159" s="1" t="n">
        <v>45672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35977-2019</t>
        </is>
      </c>
      <c r="B160" s="1" t="n">
        <v>43667</v>
      </c>
      <c r="C160" s="1" t="n">
        <v>45672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36029-2019</t>
        </is>
      </c>
      <c r="B161" s="1" t="n">
        <v>43668</v>
      </c>
      <c r="C161" s="1" t="n">
        <v>45672</v>
      </c>
      <c r="D161" t="inlineStr">
        <is>
          <t>KALMAR LÄN</t>
        </is>
      </c>
      <c r="E161" t="inlineStr">
        <is>
          <t>HULTSFRED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36281-2019</t>
        </is>
      </c>
      <c r="B162" s="1" t="n">
        <v>43669</v>
      </c>
      <c r="C162" s="1" t="n">
        <v>45672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36688-2019</t>
        </is>
      </c>
      <c r="B163" s="1" t="n">
        <v>43670</v>
      </c>
      <c r="C163" s="1" t="n">
        <v>45672</v>
      </c>
      <c r="D163" t="inlineStr">
        <is>
          <t>KALMAR LÄN</t>
        </is>
      </c>
      <c r="E163" t="inlineStr">
        <is>
          <t>HULTSFRED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36883-2019</t>
        </is>
      </c>
      <c r="B164" s="1" t="n">
        <v>43675</v>
      </c>
      <c r="C164" s="1" t="n">
        <v>45672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37177-2019</t>
        </is>
      </c>
      <c r="B165" s="1" t="n">
        <v>43677</v>
      </c>
      <c r="C165" s="1" t="n">
        <v>45672</v>
      </c>
      <c r="D165" t="inlineStr">
        <is>
          <t>KALMAR LÄN</t>
        </is>
      </c>
      <c r="E165" t="inlineStr">
        <is>
          <t>HULTSFRED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37644-2019</t>
        </is>
      </c>
      <c r="B166" s="1" t="n">
        <v>43682</v>
      </c>
      <c r="C166" s="1" t="n">
        <v>45672</v>
      </c>
      <c r="D166" t="inlineStr">
        <is>
          <t>KALMAR LÄN</t>
        </is>
      </c>
      <c r="E166" t="inlineStr">
        <is>
          <t>HULTSFRED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37749-2019</t>
        </is>
      </c>
      <c r="B167" s="1" t="n">
        <v>43682</v>
      </c>
      <c r="C167" s="1" t="n">
        <v>45672</v>
      </c>
      <c r="D167" t="inlineStr">
        <is>
          <t>KALMAR LÄN</t>
        </is>
      </c>
      <c r="E167" t="inlineStr">
        <is>
          <t>HULTSFRED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37849-2019</t>
        </is>
      </c>
      <c r="B168" s="1" t="n">
        <v>43682</v>
      </c>
      <c r="C168" s="1" t="n">
        <v>45672</v>
      </c>
      <c r="D168" t="inlineStr">
        <is>
          <t>KALMAR LÄN</t>
        </is>
      </c>
      <c r="E168" t="inlineStr">
        <is>
          <t>HULTSFRED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38000-2019</t>
        </is>
      </c>
      <c r="B169" s="1" t="n">
        <v>43683</v>
      </c>
      <c r="C169" s="1" t="n">
        <v>45672</v>
      </c>
      <c r="D169" t="inlineStr">
        <is>
          <t>KALMAR LÄN</t>
        </is>
      </c>
      <c r="E169" t="inlineStr">
        <is>
          <t>HULTSFRED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38075-2019</t>
        </is>
      </c>
      <c r="B170" s="1" t="n">
        <v>43683</v>
      </c>
      <c r="C170" s="1" t="n">
        <v>45672</v>
      </c>
      <c r="D170" t="inlineStr">
        <is>
          <t>KALMAR LÄN</t>
        </is>
      </c>
      <c r="E170" t="inlineStr">
        <is>
          <t>HULTSFRED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37977-2019</t>
        </is>
      </c>
      <c r="B171" s="1" t="n">
        <v>43683</v>
      </c>
      <c r="C171" s="1" t="n">
        <v>45672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38880-2019</t>
        </is>
      </c>
      <c r="B172" s="1" t="n">
        <v>43689</v>
      </c>
      <c r="C172" s="1" t="n">
        <v>45672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40281-2019</t>
        </is>
      </c>
      <c r="B173" s="1" t="n">
        <v>43690</v>
      </c>
      <c r="C173" s="1" t="n">
        <v>45672</v>
      </c>
      <c r="D173" t="inlineStr">
        <is>
          <t>KALMAR LÄN</t>
        </is>
      </c>
      <c r="E173" t="inlineStr">
        <is>
          <t>HULTSFRED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39665-2019</t>
        </is>
      </c>
      <c r="B174" s="1" t="n">
        <v>43691</v>
      </c>
      <c r="C174" s="1" t="n">
        <v>45672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39919-2019</t>
        </is>
      </c>
      <c r="B175" s="1" t="n">
        <v>43692</v>
      </c>
      <c r="C175" s="1" t="n">
        <v>45672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40303-2019</t>
        </is>
      </c>
      <c r="B176" s="1" t="n">
        <v>43696</v>
      </c>
      <c r="C176" s="1" t="n">
        <v>45672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40420-2019</t>
        </is>
      </c>
      <c r="B177" s="1" t="n">
        <v>43696</v>
      </c>
      <c r="C177" s="1" t="n">
        <v>45672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41819-2019</t>
        </is>
      </c>
      <c r="B178" s="1" t="n">
        <v>43697</v>
      </c>
      <c r="C178" s="1" t="n">
        <v>45672</v>
      </c>
      <c r="D178" t="inlineStr">
        <is>
          <t>KALMAR LÄN</t>
        </is>
      </c>
      <c r="E178" t="inlineStr">
        <is>
          <t>HULTSFRED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41057-2019</t>
        </is>
      </c>
      <c r="B179" s="1" t="n">
        <v>43697</v>
      </c>
      <c r="C179" s="1" t="n">
        <v>45672</v>
      </c>
      <c r="D179" t="inlineStr">
        <is>
          <t>KALMAR LÄN</t>
        </is>
      </c>
      <c r="E179" t="inlineStr">
        <is>
          <t>HULTSFRED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41407-2019</t>
        </is>
      </c>
      <c r="B180" s="1" t="n">
        <v>43698</v>
      </c>
      <c r="C180" s="1" t="n">
        <v>45672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41643-2019</t>
        </is>
      </c>
      <c r="B181" s="1" t="n">
        <v>43699</v>
      </c>
      <c r="C181" s="1" t="n">
        <v>45672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41842-2019</t>
        </is>
      </c>
      <c r="B182" s="1" t="n">
        <v>43700</v>
      </c>
      <c r="C182" s="1" t="n">
        <v>45672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42106-2019</t>
        </is>
      </c>
      <c r="B183" s="1" t="n">
        <v>43702</v>
      </c>
      <c r="C183" s="1" t="n">
        <v>45672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42200-2019</t>
        </is>
      </c>
      <c r="B184" s="1" t="n">
        <v>43703</v>
      </c>
      <c r="C184" s="1" t="n">
        <v>45672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42193-2019</t>
        </is>
      </c>
      <c r="B185" s="1" t="n">
        <v>43703</v>
      </c>
      <c r="C185" s="1" t="n">
        <v>45672</v>
      </c>
      <c r="D185" t="inlineStr">
        <is>
          <t>KALMAR LÄN</t>
        </is>
      </c>
      <c r="E185" t="inlineStr">
        <is>
          <t>HULTSFRED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42294-2019</t>
        </is>
      </c>
      <c r="B186" s="1" t="n">
        <v>43703</v>
      </c>
      <c r="C186" s="1" t="n">
        <v>45672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43035-2019</t>
        </is>
      </c>
      <c r="B187" s="1" t="n">
        <v>43705</v>
      </c>
      <c r="C187" s="1" t="n">
        <v>45672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43754-2019</t>
        </is>
      </c>
      <c r="B188" s="1" t="n">
        <v>43707</v>
      </c>
      <c r="C188" s="1" t="n">
        <v>45672</v>
      </c>
      <c r="D188" t="inlineStr">
        <is>
          <t>KALMAR LÄN</t>
        </is>
      </c>
      <c r="E188" t="inlineStr">
        <is>
          <t>HULTSFRED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43875-2019</t>
        </is>
      </c>
      <c r="B189" s="1" t="n">
        <v>43707</v>
      </c>
      <c r="C189" s="1" t="n">
        <v>45672</v>
      </c>
      <c r="D189" t="inlineStr">
        <is>
          <t>KALMAR LÄN</t>
        </is>
      </c>
      <c r="E189" t="inlineStr">
        <is>
          <t>HULTSFRED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44238-2019</t>
        </is>
      </c>
      <c r="B190" s="1" t="n">
        <v>43710</v>
      </c>
      <c r="C190" s="1" t="n">
        <v>45672</v>
      </c>
      <c r="D190" t="inlineStr">
        <is>
          <t>KALMAR LÄN</t>
        </is>
      </c>
      <c r="E190" t="inlineStr">
        <is>
          <t>HULTSFRED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44775-2019</t>
        </is>
      </c>
      <c r="B191" s="1" t="n">
        <v>43712</v>
      </c>
      <c r="C191" s="1" t="n">
        <v>45672</v>
      </c>
      <c r="D191" t="inlineStr">
        <is>
          <t>KALMAR LÄN</t>
        </is>
      </c>
      <c r="E191" t="inlineStr">
        <is>
          <t>HULTSFRED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44616-2019</t>
        </is>
      </c>
      <c r="B192" s="1" t="n">
        <v>43712</v>
      </c>
      <c r="C192" s="1" t="n">
        <v>45672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45101-2019</t>
        </is>
      </c>
      <c r="B193" s="1" t="n">
        <v>43713</v>
      </c>
      <c r="C193" s="1" t="n">
        <v>45672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45103-2019</t>
        </is>
      </c>
      <c r="B194" s="1" t="n">
        <v>43713</v>
      </c>
      <c r="C194" s="1" t="n">
        <v>45672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45108-2019</t>
        </is>
      </c>
      <c r="B195" s="1" t="n">
        <v>43713</v>
      </c>
      <c r="C195" s="1" t="n">
        <v>45672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45535-2019</t>
        </is>
      </c>
      <c r="B196" s="1" t="n">
        <v>43714</v>
      </c>
      <c r="C196" s="1" t="n">
        <v>45672</v>
      </c>
      <c r="D196" t="inlineStr">
        <is>
          <t>KALMAR LÄN</t>
        </is>
      </c>
      <c r="E196" t="inlineStr">
        <is>
          <t>HULTSFRED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46263-2019</t>
        </is>
      </c>
      <c r="B197" s="1" t="n">
        <v>43718</v>
      </c>
      <c r="C197" s="1" t="n">
        <v>45672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46505-2019</t>
        </is>
      </c>
      <c r="B198" s="1" t="n">
        <v>43719</v>
      </c>
      <c r="C198" s="1" t="n">
        <v>45672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46440-2019</t>
        </is>
      </c>
      <c r="B199" s="1" t="n">
        <v>43719</v>
      </c>
      <c r="C199" s="1" t="n">
        <v>45672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47401-2019</t>
        </is>
      </c>
      <c r="B200" s="1" t="n">
        <v>43722</v>
      </c>
      <c r="C200" s="1" t="n">
        <v>45672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47626-2019</t>
        </is>
      </c>
      <c r="B201" s="1" t="n">
        <v>43724</v>
      </c>
      <c r="C201" s="1" t="n">
        <v>45672</v>
      </c>
      <c r="D201" t="inlineStr">
        <is>
          <t>KALMAR LÄN</t>
        </is>
      </c>
      <c r="E201" t="inlineStr">
        <is>
          <t>HULTSFRED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47603-2019</t>
        </is>
      </c>
      <c r="B202" s="1" t="n">
        <v>43724</v>
      </c>
      <c r="C202" s="1" t="n">
        <v>45672</v>
      </c>
      <c r="D202" t="inlineStr">
        <is>
          <t>KALMAR LÄN</t>
        </is>
      </c>
      <c r="E202" t="inlineStr">
        <is>
          <t>HULTSFRED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47592-2019</t>
        </is>
      </c>
      <c r="B203" s="1" t="n">
        <v>43724</v>
      </c>
      <c r="C203" s="1" t="n">
        <v>45672</v>
      </c>
      <c r="D203" t="inlineStr">
        <is>
          <t>KALMAR LÄN</t>
        </is>
      </c>
      <c r="E203" t="inlineStr">
        <is>
          <t>HULTSFRED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48353-2019</t>
        </is>
      </c>
      <c r="B204" s="1" t="n">
        <v>43726</v>
      </c>
      <c r="C204" s="1" t="n">
        <v>45672</v>
      </c>
      <c r="D204" t="inlineStr">
        <is>
          <t>KALMAR LÄN</t>
        </is>
      </c>
      <c r="E204" t="inlineStr">
        <is>
          <t>HULTSFRED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48333-2019</t>
        </is>
      </c>
      <c r="B205" s="1" t="n">
        <v>43726</v>
      </c>
      <c r="C205" s="1" t="n">
        <v>45672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48644-2019</t>
        </is>
      </c>
      <c r="B206" s="1" t="n">
        <v>43728</v>
      </c>
      <c r="C206" s="1" t="n">
        <v>45672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49428-2019</t>
        </is>
      </c>
      <c r="B207" s="1" t="n">
        <v>43732</v>
      </c>
      <c r="C207" s="1" t="n">
        <v>45672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49894-2019</t>
        </is>
      </c>
      <c r="B208" s="1" t="n">
        <v>43733</v>
      </c>
      <c r="C208" s="1" t="n">
        <v>45672</v>
      </c>
      <c r="D208" t="inlineStr">
        <is>
          <t>KALMAR LÄN</t>
        </is>
      </c>
      <c r="E208" t="inlineStr">
        <is>
          <t>HULTSFRED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51986-2019</t>
        </is>
      </c>
      <c r="B209" s="1" t="n">
        <v>43734</v>
      </c>
      <c r="C209" s="1" t="n">
        <v>45672</v>
      </c>
      <c r="D209" t="inlineStr">
        <is>
          <t>KALMAR LÄN</t>
        </is>
      </c>
      <c r="E209" t="inlineStr">
        <is>
          <t>HULTSFRED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50956-2019</t>
        </is>
      </c>
      <c r="B210" s="1" t="n">
        <v>43738</v>
      </c>
      <c r="C210" s="1" t="n">
        <v>45672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50955-2019</t>
        </is>
      </c>
      <c r="B211" s="1" t="n">
        <v>43738</v>
      </c>
      <c r="C211" s="1" t="n">
        <v>45672</v>
      </c>
      <c r="D211" t="inlineStr">
        <is>
          <t>KALMAR LÄN</t>
        </is>
      </c>
      <c r="E211" t="inlineStr">
        <is>
          <t>HULTSFRED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51429-2019</t>
        </is>
      </c>
      <c r="B212" s="1" t="n">
        <v>43740</v>
      </c>
      <c r="C212" s="1" t="n">
        <v>45672</v>
      </c>
      <c r="D212" t="inlineStr">
        <is>
          <t>KALMAR LÄN</t>
        </is>
      </c>
      <c r="E212" t="inlineStr">
        <is>
          <t>HULTSFRED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51650-2019</t>
        </is>
      </c>
      <c r="B213" s="1" t="n">
        <v>43740</v>
      </c>
      <c r="C213" s="1" t="n">
        <v>45672</v>
      </c>
      <c r="D213" t="inlineStr">
        <is>
          <t>KALMAR LÄN</t>
        </is>
      </c>
      <c r="E213" t="inlineStr">
        <is>
          <t>HULTSFRED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51631-2019</t>
        </is>
      </c>
      <c r="B214" s="1" t="n">
        <v>43740</v>
      </c>
      <c r="C214" s="1" t="n">
        <v>45672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51414-2019</t>
        </is>
      </c>
      <c r="B215" s="1" t="n">
        <v>43740</v>
      </c>
      <c r="C215" s="1" t="n">
        <v>45672</v>
      </c>
      <c r="D215" t="inlineStr">
        <is>
          <t>KALMAR LÄN</t>
        </is>
      </c>
      <c r="E215" t="inlineStr">
        <is>
          <t>HULTSFRED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51428-2019</t>
        </is>
      </c>
      <c r="B216" s="1" t="n">
        <v>43740</v>
      </c>
      <c r="C216" s="1" t="n">
        <v>45672</v>
      </c>
      <c r="D216" t="inlineStr">
        <is>
          <t>KALMAR LÄN</t>
        </is>
      </c>
      <c r="E216" t="inlineStr">
        <is>
          <t>HULTSFRED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51999-2019</t>
        </is>
      </c>
      <c r="B217" s="1" t="n">
        <v>43742</v>
      </c>
      <c r="C217" s="1" t="n">
        <v>45672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51998-2019</t>
        </is>
      </c>
      <c r="B218" s="1" t="n">
        <v>43742</v>
      </c>
      <c r="C218" s="1" t="n">
        <v>45672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52109-2019</t>
        </is>
      </c>
      <c r="B219" s="1" t="n">
        <v>43742</v>
      </c>
      <c r="C219" s="1" t="n">
        <v>45672</v>
      </c>
      <c r="D219" t="inlineStr">
        <is>
          <t>KALMAR LÄN</t>
        </is>
      </c>
      <c r="E219" t="inlineStr">
        <is>
          <t>HULTSFRED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52113-2019</t>
        </is>
      </c>
      <c r="B220" s="1" t="n">
        <v>43742</v>
      </c>
      <c r="C220" s="1" t="n">
        <v>45672</v>
      </c>
      <c r="D220" t="inlineStr">
        <is>
          <t>KALMAR LÄN</t>
        </is>
      </c>
      <c r="E220" t="inlineStr">
        <is>
          <t>HULTSFRED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52119-2019</t>
        </is>
      </c>
      <c r="B221" s="1" t="n">
        <v>43742</v>
      </c>
      <c r="C221" s="1" t="n">
        <v>45672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52142-2019</t>
        </is>
      </c>
      <c r="B222" s="1" t="n">
        <v>43742</v>
      </c>
      <c r="C222" s="1" t="n">
        <v>45672</v>
      </c>
      <c r="D222" t="inlineStr">
        <is>
          <t>KALMAR LÄN</t>
        </is>
      </c>
      <c r="E222" t="inlineStr">
        <is>
          <t>HULTSFRED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52376-2019</t>
        </is>
      </c>
      <c r="B223" s="1" t="n">
        <v>43745</v>
      </c>
      <c r="C223" s="1" t="n">
        <v>45672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52800-2019</t>
        </is>
      </c>
      <c r="B224" s="1" t="n">
        <v>43746</v>
      </c>
      <c r="C224" s="1" t="n">
        <v>45672</v>
      </c>
      <c r="D224" t="inlineStr">
        <is>
          <t>KALMAR LÄN</t>
        </is>
      </c>
      <c r="E224" t="inlineStr">
        <is>
          <t>HULTSFRED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52608-2019</t>
        </is>
      </c>
      <c r="B225" s="1" t="n">
        <v>43746</v>
      </c>
      <c r="C225" s="1" t="n">
        <v>45672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52895-2019</t>
        </is>
      </c>
      <c r="B226" s="1" t="n">
        <v>43746</v>
      </c>
      <c r="C226" s="1" t="n">
        <v>45672</v>
      </c>
      <c r="D226" t="inlineStr">
        <is>
          <t>KALMAR LÄN</t>
        </is>
      </c>
      <c r="E226" t="inlineStr">
        <is>
          <t>HULTSFRED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53027-2019</t>
        </is>
      </c>
      <c r="B227" s="1" t="n">
        <v>43747</v>
      </c>
      <c r="C227" s="1" t="n">
        <v>45672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53423-2019</t>
        </is>
      </c>
      <c r="B228" s="1" t="n">
        <v>43748</v>
      </c>
      <c r="C228" s="1" t="n">
        <v>45672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53805-2019</t>
        </is>
      </c>
      <c r="B229" s="1" t="n">
        <v>43751</v>
      </c>
      <c r="C229" s="1" t="n">
        <v>45672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54651-2019</t>
        </is>
      </c>
      <c r="B230" s="1" t="n">
        <v>43754</v>
      </c>
      <c r="C230" s="1" t="n">
        <v>45672</v>
      </c>
      <c r="D230" t="inlineStr">
        <is>
          <t>KALMAR LÄN</t>
        </is>
      </c>
      <c r="E230" t="inlineStr">
        <is>
          <t>HULTSFRED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55118-2019</t>
        </is>
      </c>
      <c r="B231" s="1" t="n">
        <v>43756</v>
      </c>
      <c r="C231" s="1" t="n">
        <v>45672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56296-2019</t>
        </is>
      </c>
      <c r="B232" s="1" t="n">
        <v>43756</v>
      </c>
      <c r="C232" s="1" t="n">
        <v>45672</v>
      </c>
      <c r="D232" t="inlineStr">
        <is>
          <t>KALMAR LÄN</t>
        </is>
      </c>
      <c r="E232" t="inlineStr">
        <is>
          <t>HULTSFRED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56386-2019</t>
        </is>
      </c>
      <c r="B233" s="1" t="n">
        <v>43756</v>
      </c>
      <c r="C233" s="1" t="n">
        <v>45672</v>
      </c>
      <c r="D233" t="inlineStr">
        <is>
          <t>KALMAR LÄN</t>
        </is>
      </c>
      <c r="E233" t="inlineStr">
        <is>
          <t>HULTSFRED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56449-2019</t>
        </is>
      </c>
      <c r="B234" s="1" t="n">
        <v>43756</v>
      </c>
      <c r="C234" s="1" t="n">
        <v>45672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56392-2019</t>
        </is>
      </c>
      <c r="B235" s="1" t="n">
        <v>43756</v>
      </c>
      <c r="C235" s="1" t="n">
        <v>45672</v>
      </c>
      <c r="D235" t="inlineStr">
        <is>
          <t>KALMAR LÄN</t>
        </is>
      </c>
      <c r="E235" t="inlineStr">
        <is>
          <t>HULTSFRED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55501-2019</t>
        </is>
      </c>
      <c r="B236" s="1" t="n">
        <v>43760</v>
      </c>
      <c r="C236" s="1" t="n">
        <v>45672</v>
      </c>
      <c r="D236" t="inlineStr">
        <is>
          <t>KALMAR LÄN</t>
        </is>
      </c>
      <c r="E236" t="inlineStr">
        <is>
          <t>HULTSFRED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56458-2019</t>
        </is>
      </c>
      <c r="B237" s="1" t="n">
        <v>43762</v>
      </c>
      <c r="C237" s="1" t="n">
        <v>45672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56459-2019</t>
        </is>
      </c>
      <c r="B238" s="1" t="n">
        <v>43762</v>
      </c>
      <c r="C238" s="1" t="n">
        <v>45672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56828-2019</t>
        </is>
      </c>
      <c r="B239" s="1" t="n">
        <v>43764</v>
      </c>
      <c r="C239" s="1" t="n">
        <v>45672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57351-2019</t>
        </is>
      </c>
      <c r="B240" s="1" t="n">
        <v>43767</v>
      </c>
      <c r="C240" s="1" t="n">
        <v>45672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57532-2019</t>
        </is>
      </c>
      <c r="B241" s="1" t="n">
        <v>43767</v>
      </c>
      <c r="C241" s="1" t="n">
        <v>45672</v>
      </c>
      <c r="D241" t="inlineStr">
        <is>
          <t>KALMAR LÄN</t>
        </is>
      </c>
      <c r="E241" t="inlineStr">
        <is>
          <t>HULTSFRED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57535-2019</t>
        </is>
      </c>
      <c r="B242" s="1" t="n">
        <v>43767</v>
      </c>
      <c r="C242" s="1" t="n">
        <v>45672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57894-2019</t>
        </is>
      </c>
      <c r="B243" s="1" t="n">
        <v>43769</v>
      </c>
      <c r="C243" s="1" t="n">
        <v>45672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57900-2019</t>
        </is>
      </c>
      <c r="B244" s="1" t="n">
        <v>43769</v>
      </c>
      <c r="C244" s="1" t="n">
        <v>45672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58008-2019</t>
        </is>
      </c>
      <c r="B245" s="1" t="n">
        <v>43769</v>
      </c>
      <c r="C245" s="1" t="n">
        <v>45672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57902-2019</t>
        </is>
      </c>
      <c r="B246" s="1" t="n">
        <v>43769</v>
      </c>
      <c r="C246" s="1" t="n">
        <v>45672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58026-2019</t>
        </is>
      </c>
      <c r="B247" s="1" t="n">
        <v>43769</v>
      </c>
      <c r="C247" s="1" t="n">
        <v>45672</v>
      </c>
      <c r="D247" t="inlineStr">
        <is>
          <t>KALMAR LÄN</t>
        </is>
      </c>
      <c r="E247" t="inlineStr">
        <is>
          <t>HULTSFRED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58397-2019</t>
        </is>
      </c>
      <c r="B248" s="1" t="n">
        <v>43772</v>
      </c>
      <c r="C248" s="1" t="n">
        <v>45672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59041-2019</t>
        </is>
      </c>
      <c r="B249" s="1" t="n">
        <v>43774</v>
      </c>
      <c r="C249" s="1" t="n">
        <v>45672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59616-2019</t>
        </is>
      </c>
      <c r="B250" s="1" t="n">
        <v>43776</v>
      </c>
      <c r="C250" s="1" t="n">
        <v>45672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59639-2019</t>
        </is>
      </c>
      <c r="B251" s="1" t="n">
        <v>43776</v>
      </c>
      <c r="C251" s="1" t="n">
        <v>45672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59694-2019</t>
        </is>
      </c>
      <c r="B252" s="1" t="n">
        <v>43776</v>
      </c>
      <c r="C252" s="1" t="n">
        <v>45672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59622-2019</t>
        </is>
      </c>
      <c r="B253" s="1" t="n">
        <v>43776</v>
      </c>
      <c r="C253" s="1" t="n">
        <v>45672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59645-2019</t>
        </is>
      </c>
      <c r="B254" s="1" t="n">
        <v>43776</v>
      </c>
      <c r="C254" s="1" t="n">
        <v>45672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59705-2019</t>
        </is>
      </c>
      <c r="B255" s="1" t="n">
        <v>43776</v>
      </c>
      <c r="C255" s="1" t="n">
        <v>45672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59812-2019</t>
        </is>
      </c>
      <c r="B256" s="1" t="n">
        <v>43776</v>
      </c>
      <c r="C256" s="1" t="n">
        <v>45672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60101-2019</t>
        </is>
      </c>
      <c r="B257" s="1" t="n">
        <v>43777</v>
      </c>
      <c r="C257" s="1" t="n">
        <v>45672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60324-2019</t>
        </is>
      </c>
      <c r="B258" s="1" t="n">
        <v>43780</v>
      </c>
      <c r="C258" s="1" t="n">
        <v>45672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60932-2019</t>
        </is>
      </c>
      <c r="B259" s="1" t="n">
        <v>43780</v>
      </c>
      <c r="C259" s="1" t="n">
        <v>45672</v>
      </c>
      <c r="D259" t="inlineStr">
        <is>
          <t>KALMAR LÄN</t>
        </is>
      </c>
      <c r="E259" t="inlineStr">
        <is>
          <t>HULTSFRED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60277-2019</t>
        </is>
      </c>
      <c r="B260" s="1" t="n">
        <v>43780</v>
      </c>
      <c r="C260" s="1" t="n">
        <v>45672</v>
      </c>
      <c r="D260" t="inlineStr">
        <is>
          <t>KALMAR LÄN</t>
        </is>
      </c>
      <c r="E260" t="inlineStr">
        <is>
          <t>HULTSFRED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61164-2019</t>
        </is>
      </c>
      <c r="B261" s="1" t="n">
        <v>43782</v>
      </c>
      <c r="C261" s="1" t="n">
        <v>45672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61298-2019</t>
        </is>
      </c>
      <c r="B262" s="1" t="n">
        <v>43783</v>
      </c>
      <c r="C262" s="1" t="n">
        <v>45672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61327-2019</t>
        </is>
      </c>
      <c r="B263" s="1" t="n">
        <v>43783</v>
      </c>
      <c r="C263" s="1" t="n">
        <v>45672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61329-2019</t>
        </is>
      </c>
      <c r="B264" s="1" t="n">
        <v>43783</v>
      </c>
      <c r="C264" s="1" t="n">
        <v>45672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63432-2019</t>
        </is>
      </c>
      <c r="B265" s="1" t="n">
        <v>43794</v>
      </c>
      <c r="C265" s="1" t="n">
        <v>45672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63539-2019</t>
        </is>
      </c>
      <c r="B266" s="1" t="n">
        <v>43794</v>
      </c>
      <c r="C266" s="1" t="n">
        <v>45672</v>
      </c>
      <c r="D266" t="inlineStr">
        <is>
          <t>KALMAR LÄN</t>
        </is>
      </c>
      <c r="E266" t="inlineStr">
        <is>
          <t>HULTSFRED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63762-2019</t>
        </is>
      </c>
      <c r="B267" s="1" t="n">
        <v>43795</v>
      </c>
      <c r="C267" s="1" t="n">
        <v>45672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64215-2019</t>
        </is>
      </c>
      <c r="B268" s="1" t="n">
        <v>43797</v>
      </c>
      <c r="C268" s="1" t="n">
        <v>45672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64212-2019</t>
        </is>
      </c>
      <c r="B269" s="1" t="n">
        <v>43797</v>
      </c>
      <c r="C269" s="1" t="n">
        <v>45672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64210-2019</t>
        </is>
      </c>
      <c r="B270" s="1" t="n">
        <v>43797</v>
      </c>
      <c r="C270" s="1" t="n">
        <v>45672</v>
      </c>
      <c r="D270" t="inlineStr">
        <is>
          <t>KALMAR LÄN</t>
        </is>
      </c>
      <c r="E270" t="inlineStr">
        <is>
          <t>HULTSFRED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64732-2019</t>
        </is>
      </c>
      <c r="B271" s="1" t="n">
        <v>43800</v>
      </c>
      <c r="C271" s="1" t="n">
        <v>45672</v>
      </c>
      <c r="D271" t="inlineStr">
        <is>
          <t>KALMAR LÄN</t>
        </is>
      </c>
      <c r="E271" t="inlineStr">
        <is>
          <t>HULTSFRED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65427-2019</t>
        </is>
      </c>
      <c r="B272" s="1" t="n">
        <v>43803</v>
      </c>
      <c r="C272" s="1" t="n">
        <v>45672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65537-2019</t>
        </is>
      </c>
      <c r="B273" s="1" t="n">
        <v>43803</v>
      </c>
      <c r="C273" s="1" t="n">
        <v>45672</v>
      </c>
      <c r="D273" t="inlineStr">
        <is>
          <t>KALMAR LÄN</t>
        </is>
      </c>
      <c r="E273" t="inlineStr">
        <is>
          <t>HULTSFRED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65420-2019</t>
        </is>
      </c>
      <c r="B274" s="1" t="n">
        <v>43803</v>
      </c>
      <c r="C274" s="1" t="n">
        <v>45672</v>
      </c>
      <c r="D274" t="inlineStr">
        <is>
          <t>KALMAR LÄN</t>
        </is>
      </c>
      <c r="E274" t="inlineStr">
        <is>
          <t>HULTSFRED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67076-2019</t>
        </is>
      </c>
      <c r="B275" s="1" t="n">
        <v>43807</v>
      </c>
      <c r="C275" s="1" t="n">
        <v>45672</v>
      </c>
      <c r="D275" t="inlineStr">
        <is>
          <t>KALMAR LÄN</t>
        </is>
      </c>
      <c r="E275" t="inlineStr">
        <is>
          <t>HULTSFRED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66178-2019</t>
        </is>
      </c>
      <c r="B276" s="1" t="n">
        <v>43808</v>
      </c>
      <c r="C276" s="1" t="n">
        <v>45672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66180-2019</t>
        </is>
      </c>
      <c r="B277" s="1" t="n">
        <v>43808</v>
      </c>
      <c r="C277" s="1" t="n">
        <v>45672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66174-2019</t>
        </is>
      </c>
      <c r="B278" s="1" t="n">
        <v>43808</v>
      </c>
      <c r="C278" s="1" t="n">
        <v>45672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66184-2019</t>
        </is>
      </c>
      <c r="B279" s="1" t="n">
        <v>43808</v>
      </c>
      <c r="C279" s="1" t="n">
        <v>45672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66841-2019</t>
        </is>
      </c>
      <c r="B280" s="1" t="n">
        <v>43810</v>
      </c>
      <c r="C280" s="1" t="n">
        <v>45672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66773-2019</t>
        </is>
      </c>
      <c r="B281" s="1" t="n">
        <v>43810</v>
      </c>
      <c r="C281" s="1" t="n">
        <v>45672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66770-2019</t>
        </is>
      </c>
      <c r="B282" s="1" t="n">
        <v>43810</v>
      </c>
      <c r="C282" s="1" t="n">
        <v>45672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66843-2019</t>
        </is>
      </c>
      <c r="B283" s="1" t="n">
        <v>43810</v>
      </c>
      <c r="C283" s="1" t="n">
        <v>45672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66842-2019</t>
        </is>
      </c>
      <c r="B284" s="1" t="n">
        <v>43810</v>
      </c>
      <c r="C284" s="1" t="n">
        <v>45672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67186-2019</t>
        </is>
      </c>
      <c r="B285" s="1" t="n">
        <v>43811</v>
      </c>
      <c r="C285" s="1" t="n">
        <v>45672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67184-2019</t>
        </is>
      </c>
      <c r="B286" s="1" t="n">
        <v>43811</v>
      </c>
      <c r="C286" s="1" t="n">
        <v>45672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67185-2019</t>
        </is>
      </c>
      <c r="B287" s="1" t="n">
        <v>43811</v>
      </c>
      <c r="C287" s="1" t="n">
        <v>45672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67489-2019</t>
        </is>
      </c>
      <c r="B288" s="1" t="n">
        <v>43815</v>
      </c>
      <c r="C288" s="1" t="n">
        <v>45672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68036-2019</t>
        </is>
      </c>
      <c r="B289" s="1" t="n">
        <v>43816</v>
      </c>
      <c r="C289" s="1" t="n">
        <v>45672</v>
      </c>
      <c r="D289" t="inlineStr">
        <is>
          <t>KALMAR LÄN</t>
        </is>
      </c>
      <c r="E289" t="inlineStr">
        <is>
          <t>HULTSFRED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67876-2019</t>
        </is>
      </c>
      <c r="B290" s="1" t="n">
        <v>43816</v>
      </c>
      <c r="C290" s="1" t="n">
        <v>45672</v>
      </c>
      <c r="D290" t="inlineStr">
        <is>
          <t>KALMAR LÄN</t>
        </is>
      </c>
      <c r="E290" t="inlineStr">
        <is>
          <t>HULTSFRED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68275-2019</t>
        </is>
      </c>
      <c r="B291" s="1" t="n">
        <v>43817</v>
      </c>
      <c r="C291" s="1" t="n">
        <v>45672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153-2020</t>
        </is>
      </c>
      <c r="B292" s="1" t="n">
        <v>43833</v>
      </c>
      <c r="C292" s="1" t="n">
        <v>45672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156-2020</t>
        </is>
      </c>
      <c r="B293" s="1" t="n">
        <v>43833</v>
      </c>
      <c r="C293" s="1" t="n">
        <v>45672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655-2020</t>
        </is>
      </c>
      <c r="B294" s="1" t="n">
        <v>43838</v>
      </c>
      <c r="C294" s="1" t="n">
        <v>45672</v>
      </c>
      <c r="D294" t="inlineStr">
        <is>
          <t>KALMAR LÄN</t>
        </is>
      </c>
      <c r="E294" t="inlineStr">
        <is>
          <t>HULTSFRED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1301-2020</t>
        </is>
      </c>
      <c r="B295" s="1" t="n">
        <v>43842</v>
      </c>
      <c r="C295" s="1" t="n">
        <v>45672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1539-2020</t>
        </is>
      </c>
      <c r="B296" s="1" t="n">
        <v>43843</v>
      </c>
      <c r="C296" s="1" t="n">
        <v>45672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2596-2020</t>
        </is>
      </c>
      <c r="B297" s="1" t="n">
        <v>43847</v>
      </c>
      <c r="C297" s="1" t="n">
        <v>45672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2463-2020</t>
        </is>
      </c>
      <c r="B298" s="1" t="n">
        <v>43847</v>
      </c>
      <c r="C298" s="1" t="n">
        <v>45672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2504-2020</t>
        </is>
      </c>
      <c r="B299" s="1" t="n">
        <v>43847</v>
      </c>
      <c r="C299" s="1" t="n">
        <v>45672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4236-2020</t>
        </is>
      </c>
      <c r="B300" s="1" t="n">
        <v>43847</v>
      </c>
      <c r="C300" s="1" t="n">
        <v>45672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4232-2020</t>
        </is>
      </c>
      <c r="B301" s="1" t="n">
        <v>43847</v>
      </c>
      <c r="C301" s="1" t="n">
        <v>45672</v>
      </c>
      <c r="D301" t="inlineStr">
        <is>
          <t>KALMAR LÄN</t>
        </is>
      </c>
      <c r="E301" t="inlineStr">
        <is>
          <t>HULTSFRED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2860-2020</t>
        </is>
      </c>
      <c r="B302" s="1" t="n">
        <v>43850</v>
      </c>
      <c r="C302" s="1" t="n">
        <v>45672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2865-2020</t>
        </is>
      </c>
      <c r="B303" s="1" t="n">
        <v>43850</v>
      </c>
      <c r="C303" s="1" t="n">
        <v>45672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2898-2020</t>
        </is>
      </c>
      <c r="B304" s="1" t="n">
        <v>43850</v>
      </c>
      <c r="C304" s="1" t="n">
        <v>45672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4687-2020</t>
        </is>
      </c>
      <c r="B305" s="1" t="n">
        <v>43858</v>
      </c>
      <c r="C305" s="1" t="n">
        <v>45672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4689-2020</t>
        </is>
      </c>
      <c r="B306" s="1" t="n">
        <v>43858</v>
      </c>
      <c r="C306" s="1" t="n">
        <v>45672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4733-2020</t>
        </is>
      </c>
      <c r="B307" s="1" t="n">
        <v>43859</v>
      </c>
      <c r="C307" s="1" t="n">
        <v>45672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5810-2020</t>
        </is>
      </c>
      <c r="B308" s="1" t="n">
        <v>43864</v>
      </c>
      <c r="C308" s="1" t="n">
        <v>45672</v>
      </c>
      <c r="D308" t="inlineStr">
        <is>
          <t>KALMAR LÄN</t>
        </is>
      </c>
      <c r="E308" t="inlineStr">
        <is>
          <t>HULTSFRED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6133-2020</t>
        </is>
      </c>
      <c r="B309" s="1" t="n">
        <v>43865</v>
      </c>
      <c r="C309" s="1" t="n">
        <v>45672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6135-2020</t>
        </is>
      </c>
      <c r="B310" s="1" t="n">
        <v>43865</v>
      </c>
      <c r="C310" s="1" t="n">
        <v>45672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6793-2020</t>
        </is>
      </c>
      <c r="B311" s="1" t="n">
        <v>43867</v>
      </c>
      <c r="C311" s="1" t="n">
        <v>45672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7746-2020</t>
        </is>
      </c>
      <c r="B312" s="1" t="n">
        <v>43872</v>
      </c>
      <c r="C312" s="1" t="n">
        <v>45672</v>
      </c>
      <c r="D312" t="inlineStr">
        <is>
          <t>KALMAR LÄN</t>
        </is>
      </c>
      <c r="E312" t="inlineStr">
        <is>
          <t>HULTSFRED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7554-2020</t>
        </is>
      </c>
      <c r="B313" s="1" t="n">
        <v>43872</v>
      </c>
      <c r="C313" s="1" t="n">
        <v>45672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7933-2020</t>
        </is>
      </c>
      <c r="B314" s="1" t="n">
        <v>43873</v>
      </c>
      <c r="C314" s="1" t="n">
        <v>45672</v>
      </c>
      <c r="D314" t="inlineStr">
        <is>
          <t>KALMAR LÄN</t>
        </is>
      </c>
      <c r="E314" t="inlineStr">
        <is>
          <t>HULTSFRED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7793-2020</t>
        </is>
      </c>
      <c r="B315" s="1" t="n">
        <v>43873</v>
      </c>
      <c r="C315" s="1" t="n">
        <v>45672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8805-2020</t>
        </is>
      </c>
      <c r="B316" s="1" t="n">
        <v>43878</v>
      </c>
      <c r="C316" s="1" t="n">
        <v>45672</v>
      </c>
      <c r="D316" t="inlineStr">
        <is>
          <t>KALMAR LÄN</t>
        </is>
      </c>
      <c r="E316" t="inlineStr">
        <is>
          <t>HULTSFRED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8818-2020</t>
        </is>
      </c>
      <c r="B317" s="1" t="n">
        <v>43878</v>
      </c>
      <c r="C317" s="1" t="n">
        <v>45672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8999-2020</t>
        </is>
      </c>
      <c r="B318" s="1" t="n">
        <v>43879</v>
      </c>
      <c r="C318" s="1" t="n">
        <v>45672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8996-2020</t>
        </is>
      </c>
      <c r="B319" s="1" t="n">
        <v>43879</v>
      </c>
      <c r="C319" s="1" t="n">
        <v>45672</v>
      </c>
      <c r="D319" t="inlineStr">
        <is>
          <t>KALMAR LÄN</t>
        </is>
      </c>
      <c r="E319" t="inlineStr">
        <is>
          <t>HULTSFRED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9107-2020</t>
        </is>
      </c>
      <c r="B320" s="1" t="n">
        <v>43879</v>
      </c>
      <c r="C320" s="1" t="n">
        <v>45672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9280-2020</t>
        </is>
      </c>
      <c r="B321" s="1" t="n">
        <v>43880</v>
      </c>
      <c r="C321" s="1" t="n">
        <v>45672</v>
      </c>
      <c r="D321" t="inlineStr">
        <is>
          <t>KALMAR LÄN</t>
        </is>
      </c>
      <c r="E321" t="inlineStr">
        <is>
          <t>HULTSFRED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9918-2020</t>
        </is>
      </c>
      <c r="B322" s="1" t="n">
        <v>43882</v>
      </c>
      <c r="C322" s="1" t="n">
        <v>45672</v>
      </c>
      <c r="D322" t="inlineStr">
        <is>
          <t>KALMAR LÄN</t>
        </is>
      </c>
      <c r="E322" t="inlineStr">
        <is>
          <t>HULTSFRED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10259-2020</t>
        </is>
      </c>
      <c r="B323" s="1" t="n">
        <v>43885</v>
      </c>
      <c r="C323" s="1" t="n">
        <v>45672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11181-2020</t>
        </is>
      </c>
      <c r="B324" s="1" t="n">
        <v>43886</v>
      </c>
      <c r="C324" s="1" t="n">
        <v>45672</v>
      </c>
      <c r="D324" t="inlineStr">
        <is>
          <t>KALMAR LÄN</t>
        </is>
      </c>
      <c r="E324" t="inlineStr">
        <is>
          <t>HULTSFRED</t>
        </is>
      </c>
      <c r="G324" t="n">
        <v>21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10677-2020</t>
        </is>
      </c>
      <c r="B325" s="1" t="n">
        <v>43887</v>
      </c>
      <c r="C325" s="1" t="n">
        <v>45672</v>
      </c>
      <c r="D325" t="inlineStr">
        <is>
          <t>KALMAR LÄN</t>
        </is>
      </c>
      <c r="E325" t="inlineStr">
        <is>
          <t>HULTSFRED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10867-2020</t>
        </is>
      </c>
      <c r="B326" s="1" t="n">
        <v>43889</v>
      </c>
      <c r="C326" s="1" t="n">
        <v>45672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10869-2020</t>
        </is>
      </c>
      <c r="B327" s="1" t="n">
        <v>43889</v>
      </c>
      <c r="C327" s="1" t="n">
        <v>45672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11196-2020</t>
        </is>
      </c>
      <c r="B328" s="1" t="n">
        <v>43892</v>
      </c>
      <c r="C328" s="1" t="n">
        <v>45672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14174-2020</t>
        </is>
      </c>
      <c r="B329" s="1" t="n">
        <v>43899</v>
      </c>
      <c r="C329" s="1" t="n">
        <v>45672</v>
      </c>
      <c r="D329" t="inlineStr">
        <is>
          <t>KALMAR LÄN</t>
        </is>
      </c>
      <c r="E329" t="inlineStr">
        <is>
          <t>HULTSFRED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13045-2020</t>
        </is>
      </c>
      <c r="B330" s="1" t="n">
        <v>43900</v>
      </c>
      <c r="C330" s="1" t="n">
        <v>45672</v>
      </c>
      <c r="D330" t="inlineStr">
        <is>
          <t>KALMAR LÄN</t>
        </is>
      </c>
      <c r="E330" t="inlineStr">
        <is>
          <t>HULTSFRED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13046-2020</t>
        </is>
      </c>
      <c r="B331" s="1" t="n">
        <v>43900</v>
      </c>
      <c r="C331" s="1" t="n">
        <v>45672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13550-2020</t>
        </is>
      </c>
      <c r="B332" s="1" t="n">
        <v>43902</v>
      </c>
      <c r="C332" s="1" t="n">
        <v>45672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14002-2020</t>
        </is>
      </c>
      <c r="B333" s="1" t="n">
        <v>43906</v>
      </c>
      <c r="C333" s="1" t="n">
        <v>45672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14178-2020</t>
        </is>
      </c>
      <c r="B334" s="1" t="n">
        <v>43907</v>
      </c>
      <c r="C334" s="1" t="n">
        <v>45672</v>
      </c>
      <c r="D334" t="inlineStr">
        <is>
          <t>KALMAR LÄN</t>
        </is>
      </c>
      <c r="E334" t="inlineStr">
        <is>
          <t>HULTSFRED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14960-2020</t>
        </is>
      </c>
      <c r="B335" s="1" t="n">
        <v>43910</v>
      </c>
      <c r="C335" s="1" t="n">
        <v>45672</v>
      </c>
      <c r="D335" t="inlineStr">
        <is>
          <t>KALMAR LÄN</t>
        </is>
      </c>
      <c r="E335" t="inlineStr">
        <is>
          <t>HULTSFRED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16832-2020</t>
        </is>
      </c>
      <c r="B336" s="1" t="n">
        <v>43910</v>
      </c>
      <c r="C336" s="1" t="n">
        <v>45672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15350-2020</t>
        </is>
      </c>
      <c r="B337" s="1" t="n">
        <v>43913</v>
      </c>
      <c r="C337" s="1" t="n">
        <v>45672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15356-2020</t>
        </is>
      </c>
      <c r="B338" s="1" t="n">
        <v>43913</v>
      </c>
      <c r="C338" s="1" t="n">
        <v>45672</v>
      </c>
      <c r="D338" t="inlineStr">
        <is>
          <t>KALMAR LÄN</t>
        </is>
      </c>
      <c r="E338" t="inlineStr">
        <is>
          <t>HULTSFRED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15352-2020</t>
        </is>
      </c>
      <c r="B339" s="1" t="n">
        <v>43913</v>
      </c>
      <c r="C339" s="1" t="n">
        <v>45672</v>
      </c>
      <c r="D339" t="inlineStr">
        <is>
          <t>KALMAR LÄN</t>
        </is>
      </c>
      <c r="E339" t="inlineStr">
        <is>
          <t>HULTSFRED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15206-2020</t>
        </is>
      </c>
      <c r="B340" s="1" t="n">
        <v>43913</v>
      </c>
      <c r="C340" s="1" t="n">
        <v>45672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15981-2020</t>
        </is>
      </c>
      <c r="B341" s="1" t="n">
        <v>43916</v>
      </c>
      <c r="C341" s="1" t="n">
        <v>45672</v>
      </c>
      <c r="D341" t="inlineStr">
        <is>
          <t>KALMAR LÄN</t>
        </is>
      </c>
      <c r="E341" t="inlineStr">
        <is>
          <t>HULTSFRED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17491-2020</t>
        </is>
      </c>
      <c r="B342" s="1" t="n">
        <v>43920</v>
      </c>
      <c r="C342" s="1" t="n">
        <v>45672</v>
      </c>
      <c r="D342" t="inlineStr">
        <is>
          <t>KALMAR LÄN</t>
        </is>
      </c>
      <c r="E342" t="inlineStr">
        <is>
          <t>HULTSFRED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45672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45672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45672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45672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45672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45672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45672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45672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45672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45672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45672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45672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45672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45672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45672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45672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45672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45672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45672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45672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45672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45672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45672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45672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45672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45672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45672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45672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45672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45672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45672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45672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45672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45672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45672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45672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45672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45672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45672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45672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45672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45672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45672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45672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45672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45672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45672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45672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45672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45672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45672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45672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45672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45672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45672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45672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45672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45672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45672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45672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45672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45672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45672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45672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45672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45672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45672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45672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45672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45672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45672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45672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45672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45672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45672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45672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45672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45672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45672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45672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45672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45672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45672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45672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45672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45672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45672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45672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45672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45672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45672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45672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45672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45672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45672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45672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45672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45672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45672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45672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45672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45672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45672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45672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45672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45672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45672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45672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45672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45672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45672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45672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45672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45672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45672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45672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45672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45672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45672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45672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45672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45672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45672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45672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45672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45672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45672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45672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45672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45672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45672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45672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45672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45672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45672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45672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45672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45672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45672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45672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45672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45672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45672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45672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45672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45672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45672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45672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45672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45672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45672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45672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45672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45672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45672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45672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45672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45672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45672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45672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45672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45672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45672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45672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45672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45672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45672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45672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45672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45672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45672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45672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45672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45672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45672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45672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45672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45672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45672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45672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45672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45672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45672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45672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45672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45672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45672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45672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45672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45672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45672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45672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45672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45672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45672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45672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45672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45672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45672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45672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45672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45672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45672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45672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45672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45672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45672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45672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45672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45672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45672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45672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45672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45672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45672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45672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45672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45672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45672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45672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45672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45672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45672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45672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45672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45672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45672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45672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45672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45672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45672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45672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45672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45672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45672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45672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45672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45672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45672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45672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45672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45672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45672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45672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45672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45672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45672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45672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45672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45672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45672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45672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45672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45672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45672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45672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45672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45672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45672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45672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45672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45672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45672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45672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45672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45672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45672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45672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45672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45672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45672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45672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45672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45672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45672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45672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45672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45672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45672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45672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45672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45672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45672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45672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45672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45672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45672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45672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45672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45672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45672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45672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45672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45672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45672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45672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45672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45672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45672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45672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45672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45672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45672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45672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45672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45672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45672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45672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45672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45672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45672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45672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45672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45672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45672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45672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45672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45672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45672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45672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45672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45672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45672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45672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45672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45672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45672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45672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45672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45672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45672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45672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45672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45672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45672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45672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45672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45672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45672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45672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45672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45672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45672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45672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45672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45672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45672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45672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45672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45672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45672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45672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45672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45672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45672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45672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45672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45672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45672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45672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45672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45672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45672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45672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45672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45672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45672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45672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45672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45672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45672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45672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45672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45672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45672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45672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45672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45672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45672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45672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45672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45672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45672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45672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45672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45672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45672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45672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45672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45672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45672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45672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45672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45672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45672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45672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45672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45672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45672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45672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45672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45672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45672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45672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45672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45672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45672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45672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45672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45672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45672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45672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45672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45672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45672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45672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45672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45672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45672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45672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45672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45672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45672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45672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45672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45672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45672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45672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45672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45672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45672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45672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45672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45672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45672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45672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45672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45672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45672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45672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45672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45672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45672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45672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45672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45672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45672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45672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45672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45672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45672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45672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45672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45672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45672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45672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45672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45672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45672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45672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45672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45672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45672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45672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45672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45672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45672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45672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45672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45672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45672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45672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45672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45672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45672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45672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45672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45672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45672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45672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45672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45672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45672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45672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45672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45672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45672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45672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45672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45672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45672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45672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45672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45672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45672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45672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45672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45672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45672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45672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45672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45672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45672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45672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45672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45672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45672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45672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45672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45672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45672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45672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45672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45672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45672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45672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45672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45672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45672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45672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45672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45672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45672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45672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45672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45672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45672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45672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45672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45672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45672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45672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45672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45672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45672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45672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45672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45672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45672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45672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45672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45672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45672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45672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45672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45672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45672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45672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45672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45672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45672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45672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45672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45672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45672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45672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45672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45672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45672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45672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45672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45672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45672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45672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45672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45672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45672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45672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45672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45672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45672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45672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45672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45672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45672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45672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45672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45672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45672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45672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45672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45672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45672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45672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45672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45672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45672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45672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45672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45672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45672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45672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45672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45672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45672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45672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45672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45672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45672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45672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45672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45672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45672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45672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45672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45672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45672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45672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45672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45672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45672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45672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45672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45672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45672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45672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45672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45672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45672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45672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45672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45672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45672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45672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45672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45672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45672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45672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45672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45672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45672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45672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45672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45672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45672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45672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45672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45672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45672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45672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45672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45672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45672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45672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45672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45672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45672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45672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45672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45672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45672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45672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45672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45672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45672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45672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45672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45672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45672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45672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45672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45672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45672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45672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45672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45672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45672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45672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45672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45672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45672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45672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45672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45672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45672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45672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45672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45672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45672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45672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45672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45672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45672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45672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45672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45672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45672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45672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45672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45672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45672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45672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45672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45672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45672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45672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45672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45672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45672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45672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45672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45672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45672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45672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45672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45672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45672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45672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45672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45672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45672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45672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45672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45672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45672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45672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45672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45672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45672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45672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45672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45672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45672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45672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45672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45672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45672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45672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45672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45672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45672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45672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45672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45672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45672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45672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45672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45672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45672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45672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45672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45672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45672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45672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45672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45672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45672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45672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45672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45672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45672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45672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45672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45672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45672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45672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45672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45672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45672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45672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45672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45672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45672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45672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45672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45672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45672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45672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45672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45672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45672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45672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45672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45672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45672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45672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45672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45672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45672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45672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45672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45672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45672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45672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45672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45672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45672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45672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45672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45672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45672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45672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45672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45672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45672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45672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45672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45672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45672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45672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45672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45672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45672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45672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45672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45672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45672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45672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45672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45672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45672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45672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45672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45672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45672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45672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45672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45672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45672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45672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45672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45672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45672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45672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45672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45672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45672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45672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45672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45672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45672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45672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45672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45672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45672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45672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45672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45672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45672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45672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45672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45672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45672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45672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45672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45672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45672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45672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45672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45672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45672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45672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45672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45672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45672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45672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45672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45672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45672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45672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45672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45672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45672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45672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45672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45672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45672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45672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45672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45672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45672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45672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45672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45672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45672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45672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45672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45672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45672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45672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45672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45672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45672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45672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45672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45672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45672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45672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45672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45672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45672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45672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45672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45672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45672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45672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45672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45672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45672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45672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45672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45672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45672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45672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45672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45672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45672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45672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45672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45672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45672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45672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45672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45672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45672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45672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45672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45672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45672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45672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45672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45672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45672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45672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45672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45672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45672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45672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45672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45672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45672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45672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45672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45672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45672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45672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45672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45672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45672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45672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45672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45672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45672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45672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45672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45672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45672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45672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45672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45672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45672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45672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45672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45672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45672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45672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45672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45672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45672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45672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45672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45672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45672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45672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45672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45672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45672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45672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45672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45672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45672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45672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45672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45672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45672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45672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45672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45672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45672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45672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45672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45672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45672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45672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45672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45672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45672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45672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45672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45672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45672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45672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45672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45672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45672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45672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45672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45672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45672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45672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45672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45672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45672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45672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45672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45672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45672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45672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45672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45672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45672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45672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45672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45672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45672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45672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45672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45672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45672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45672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45672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45672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45672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45672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45672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45672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45672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45672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45672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45672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45672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45672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45672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45672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45672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45672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45672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45672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45672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45672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45672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45672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45672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45672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45672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45672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45672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45672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45672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45672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45672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45672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45672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45672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45672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45672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45672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45672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45672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45672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45672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45672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45672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45672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45672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45672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45672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45672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45672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45672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45672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45672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45672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45672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45672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45672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45672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45672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45672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45672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45672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45672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45672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45672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45672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45672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45672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45672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45672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45672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45672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45672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45672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45672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45672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45672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45672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45672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45672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45672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45672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45672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45672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60074-2024</t>
        </is>
      </c>
      <c r="B1446" s="1" t="n">
        <v>45642</v>
      </c>
      <c r="C1446" s="1" t="n">
        <v>45672</v>
      </c>
      <c r="D1446" t="inlineStr">
        <is>
          <t>KALMAR LÄN</t>
        </is>
      </c>
      <c r="E1446" t="inlineStr">
        <is>
          <t>HULTSFRED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45672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45672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45672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45672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45672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45672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45672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45672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590-2025</t>
        </is>
      </c>
      <c r="B1455" s="1" t="n">
        <v>45660</v>
      </c>
      <c r="C1455" s="1" t="n">
        <v>45672</v>
      </c>
      <c r="D1455" t="inlineStr">
        <is>
          <t>KALMAR LÄN</t>
        </is>
      </c>
      <c r="E1455" t="inlineStr">
        <is>
          <t>HULTSFRED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45672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45672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45672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1237-2025</t>
        </is>
      </c>
      <c r="B1459" s="1" t="n">
        <v>45667</v>
      </c>
      <c r="C1459" s="1" t="n">
        <v>45672</v>
      </c>
      <c r="D1459" t="inlineStr">
        <is>
          <t>KALMAR LÄN</t>
        </is>
      </c>
      <c r="E1459" t="inlineStr">
        <is>
          <t>HULTSFRED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1219-2025</t>
        </is>
      </c>
      <c r="B1460" s="1" t="n">
        <v>45667</v>
      </c>
      <c r="C1460" s="1" t="n">
        <v>45672</v>
      </c>
      <c r="D1460" t="inlineStr">
        <is>
          <t>KALMAR LÄN</t>
        </is>
      </c>
      <c r="E1460" t="inlineStr">
        <is>
          <t>HULTSFRED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>
      <c r="A1461" t="inlineStr">
        <is>
          <t>A 1234-2025</t>
        </is>
      </c>
      <c r="B1461" s="1" t="n">
        <v>45667</v>
      </c>
      <c r="C1461" s="1" t="n">
        <v>45672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2025-01-15T16:02:41Z</dcterms:created>
  <dcterms:modified xmlns:dcterms="http://purl.org/dc/terms/" xmlns:xsi="http://www.w3.org/2001/XMLSchema-instance" xsi:type="dcterms:W3CDTF">2025-01-15T16:02:42Z</dcterms:modified>
</cp:coreProperties>
</file>