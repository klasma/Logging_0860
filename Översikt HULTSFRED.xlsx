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45795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45795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45795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45795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45795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45795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45795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45795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45795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45795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45795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45795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45795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45795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45795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45795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45795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45795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45795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45795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45795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45795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45795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45795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45795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45795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45795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45795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45795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45795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45795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45795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45795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45795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45795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45795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45795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45795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45795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45795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45795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45795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45795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45795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45795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45795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45795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45795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45795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45795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45795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45795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45795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45795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45795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45795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45795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45795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45795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45795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45795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45795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45795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45795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45795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45795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45795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45795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45795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45795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45795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45795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45795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45795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45795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45795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45795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49919-2021</t>
        </is>
      </c>
      <c r="B79" s="1" t="n">
        <v>44455</v>
      </c>
      <c r="C79" s="1" t="n">
        <v>45795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Småjungfrukam</t>
        </is>
      </c>
      <c r="S79">
        <f>HYPERLINK("https://klasma.github.io/Logging_0860/artfynd/A 49919-2021 artfynd.xlsx", "A 49919-2021")</f>
        <v/>
      </c>
      <c r="T79">
        <f>HYPERLINK("https://klasma.github.io/Logging_0860/kartor/A 49919-2021 karta.png", "A 49919-2021")</f>
        <v/>
      </c>
      <c r="V79">
        <f>HYPERLINK("https://klasma.github.io/Logging_0860/klagomål/A 49919-2021 FSC-klagomål.docx", "A 49919-2021")</f>
        <v/>
      </c>
      <c r="W79">
        <f>HYPERLINK("https://klasma.github.io/Logging_0860/klagomålsmail/A 49919-2021 FSC-klagomål mail.docx", "A 49919-2021")</f>
        <v/>
      </c>
      <c r="X79">
        <f>HYPERLINK("https://klasma.github.io/Logging_0860/tillsyn/A 49919-2021 tillsynsbegäran.docx", "A 49919-2021")</f>
        <v/>
      </c>
      <c r="Y79">
        <f>HYPERLINK("https://klasma.github.io/Logging_0860/tillsynsmail/A 49919-2021 tillsynsbegäran mail.docx", "A 49919-2021")</f>
        <v/>
      </c>
    </row>
    <row r="80" ht="15" customHeight="1">
      <c r="A80" t="inlineStr">
        <is>
          <t>A 66724-2021</t>
        </is>
      </c>
      <c r="B80" s="1" t="n">
        <v>44520</v>
      </c>
      <c r="C80" s="1" t="n">
        <v>45795</v>
      </c>
      <c r="D80" t="inlineStr">
        <is>
          <t>KALMAR LÄN</t>
        </is>
      </c>
      <c r="E80" t="inlineStr">
        <is>
          <t>HULTSFRED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HYPERLINK("https://klasma.github.io/Logging_0860/artfynd/A 66724-2021 artfynd.xlsx", "A 66724-2021")</f>
        <v/>
      </c>
      <c r="T80">
        <f>HYPERLINK("https://klasma.github.io/Logging_0860/kartor/A 66724-2021 karta.png", "A 66724-2021")</f>
        <v/>
      </c>
      <c r="V80">
        <f>HYPERLINK("https://klasma.github.io/Logging_0860/klagomål/A 66724-2021 FSC-klagomål.docx", "A 66724-2021")</f>
        <v/>
      </c>
      <c r="W80">
        <f>HYPERLINK("https://klasma.github.io/Logging_0860/klagomålsmail/A 66724-2021 FSC-klagomål mail.docx", "A 66724-2021")</f>
        <v/>
      </c>
      <c r="X80">
        <f>HYPERLINK("https://klasma.github.io/Logging_0860/tillsyn/A 66724-2021 tillsynsbegäran.docx", "A 66724-2021")</f>
        <v/>
      </c>
      <c r="Y80">
        <f>HYPERLINK("https://klasma.github.io/Logging_0860/tillsynsmail/A 66724-2021 tillsynsbegäran mail.docx", "A 66724-2021")</f>
        <v/>
      </c>
    </row>
    <row r="81" ht="15" customHeight="1">
      <c r="A81" t="inlineStr">
        <is>
          <t>A 66847-2021</t>
        </is>
      </c>
      <c r="B81" s="1" t="n">
        <v>44522</v>
      </c>
      <c r="C81" s="1" t="n">
        <v>45795</v>
      </c>
      <c r="D81" t="inlineStr">
        <is>
          <t>KALMAR LÄN</t>
        </is>
      </c>
      <c r="E81" t="inlineStr">
        <is>
          <t>HULTSFRED</t>
        </is>
      </c>
      <c r="G81" t="n">
        <v>7.4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HYPERLINK("https://klasma.github.io/Logging_0860/artfynd/A 66847-2021 artfynd.xlsx", "A 66847-2021")</f>
        <v/>
      </c>
      <c r="T81">
        <f>HYPERLINK("https://klasma.github.io/Logging_0860/kartor/A 66847-2021 karta.png", "A 66847-2021")</f>
        <v/>
      </c>
      <c r="V81">
        <f>HYPERLINK("https://klasma.github.io/Logging_0860/klagomål/A 66847-2021 FSC-klagomål.docx", "A 66847-2021")</f>
        <v/>
      </c>
      <c r="W81">
        <f>HYPERLINK("https://klasma.github.io/Logging_0860/klagomålsmail/A 66847-2021 FSC-klagomål mail.docx", "A 66847-2021")</f>
        <v/>
      </c>
      <c r="X81">
        <f>HYPERLINK("https://klasma.github.io/Logging_0860/tillsyn/A 66847-2021 tillsynsbegäran.docx", "A 66847-2021")</f>
        <v/>
      </c>
      <c r="Y81">
        <f>HYPERLINK("https://klasma.github.io/Logging_0860/tillsynsmail/A 66847-2021 tillsynsbegäran mail.docx", "A 66847-2021")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45795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53862-2022</t>
        </is>
      </c>
      <c r="B83" s="1" t="n">
        <v>44876</v>
      </c>
      <c r="C83" s="1" t="n">
        <v>45795</v>
      </c>
      <c r="D83" t="inlineStr">
        <is>
          <t>KALMAR LÄN</t>
        </is>
      </c>
      <c r="E83" t="inlineStr">
        <is>
          <t>HULTSFRED</t>
        </is>
      </c>
      <c r="F83" t="inlineStr">
        <is>
          <t>Kommuner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53862-2022 artfynd.xlsx", "A 53862-2022")</f>
        <v/>
      </c>
      <c r="T83">
        <f>HYPERLINK("https://klasma.github.io/Logging_0860/kartor/A 53862-2022 karta.png", "A 53862-2022")</f>
        <v/>
      </c>
      <c r="V83">
        <f>HYPERLINK("https://klasma.github.io/Logging_0860/klagomål/A 53862-2022 FSC-klagomål.docx", "A 53862-2022")</f>
        <v/>
      </c>
      <c r="W83">
        <f>HYPERLINK("https://klasma.github.io/Logging_0860/klagomålsmail/A 53862-2022 FSC-klagomål mail.docx", "A 53862-2022")</f>
        <v/>
      </c>
      <c r="X83">
        <f>HYPERLINK("https://klasma.github.io/Logging_0860/tillsyn/A 53862-2022 tillsynsbegäran.docx", "A 53862-2022")</f>
        <v/>
      </c>
      <c r="Y83">
        <f>HYPERLINK("https://klasma.github.io/Logging_0860/tillsynsmail/A 53862-2022 tillsynsbegäran mail.docx", "A 53862-2022")</f>
        <v/>
      </c>
    </row>
    <row r="84" ht="15" customHeight="1">
      <c r="A84" t="inlineStr">
        <is>
          <t>A 54675-2022</t>
        </is>
      </c>
      <c r="B84" s="1" t="n">
        <v>44883</v>
      </c>
      <c r="C84" s="1" t="n">
        <v>45795</v>
      </c>
      <c r="D84" t="inlineStr">
        <is>
          <t>KALMAR LÄN</t>
        </is>
      </c>
      <c r="E84" t="inlineStr">
        <is>
          <t>HULTSFRED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HYPERLINK("https://klasma.github.io/Logging_0860/artfynd/A 54675-2022 artfynd.xlsx", "A 54675-2022")</f>
        <v/>
      </c>
      <c r="T84">
        <f>HYPERLINK("https://klasma.github.io/Logging_0860/kartor/A 54675-2022 karta.png", "A 54675-2022")</f>
        <v/>
      </c>
      <c r="V84">
        <f>HYPERLINK("https://klasma.github.io/Logging_0860/klagomål/A 54675-2022 FSC-klagomål.docx", "A 54675-2022")</f>
        <v/>
      </c>
      <c r="W84">
        <f>HYPERLINK("https://klasma.github.io/Logging_0860/klagomålsmail/A 54675-2022 FSC-klagomål mail.docx", "A 54675-2022")</f>
        <v/>
      </c>
      <c r="X84">
        <f>HYPERLINK("https://klasma.github.io/Logging_0860/tillsyn/A 54675-2022 tillsynsbegäran.docx", "A 54675-2022")</f>
        <v/>
      </c>
      <c r="Y84">
        <f>HYPERLINK("https://klasma.github.io/Logging_0860/tillsynsmail/A 54675-2022 tillsynsbegäran mail.docx", "A 54675-2022")</f>
        <v/>
      </c>
      <c r="Z84">
        <f>HYPERLINK("https://klasma.github.io/Logging_0860/fåglar/A 54675-2022 prioriterade fågelarter.docx", "A 54675-2022")</f>
        <v/>
      </c>
    </row>
    <row r="85" ht="15" customHeight="1">
      <c r="A85" t="inlineStr">
        <is>
          <t>A 141-2023</t>
        </is>
      </c>
      <c r="B85" s="1" t="n">
        <v>44928</v>
      </c>
      <c r="C85" s="1" t="n">
        <v>45795</v>
      </c>
      <c r="D85" t="inlineStr">
        <is>
          <t>KALMAR LÄN</t>
        </is>
      </c>
      <c r="E85" t="inlineStr">
        <is>
          <t>HULTSFRED</t>
        </is>
      </c>
      <c r="F85" t="inlineStr">
        <is>
          <t>Sveaskog</t>
        </is>
      </c>
      <c r="G85" t="n">
        <v>7.6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Vedtrappmossa</t>
        </is>
      </c>
      <c r="S85">
        <f>HYPERLINK("https://klasma.github.io/Logging_0860/artfynd/A 141-2023 artfynd.xlsx", "A 141-2023")</f>
        <v/>
      </c>
      <c r="T85">
        <f>HYPERLINK("https://klasma.github.io/Logging_0860/kartor/A 141-2023 karta.png", "A 141-2023")</f>
        <v/>
      </c>
      <c r="V85">
        <f>HYPERLINK("https://klasma.github.io/Logging_0860/klagomål/A 141-2023 FSC-klagomål.docx", "A 141-2023")</f>
        <v/>
      </c>
      <c r="W85">
        <f>HYPERLINK("https://klasma.github.io/Logging_0860/klagomålsmail/A 141-2023 FSC-klagomål mail.docx", "A 141-2023")</f>
        <v/>
      </c>
      <c r="X85">
        <f>HYPERLINK("https://klasma.github.io/Logging_0860/tillsyn/A 141-2023 tillsynsbegäran.docx", "A 141-2023")</f>
        <v/>
      </c>
      <c r="Y85">
        <f>HYPERLINK("https://klasma.github.io/Logging_0860/tillsynsmail/A 141-2023 tillsynsbegäran mail.docx", "A 141-2023")</f>
        <v/>
      </c>
    </row>
    <row r="86" ht="15" customHeight="1">
      <c r="A86" t="inlineStr">
        <is>
          <t>A 2637-2023</t>
        </is>
      </c>
      <c r="B86" s="1" t="n">
        <v>44942</v>
      </c>
      <c r="C86" s="1" t="n">
        <v>45795</v>
      </c>
      <c r="D86" t="inlineStr">
        <is>
          <t>KALMAR LÄN</t>
        </is>
      </c>
      <c r="E86" t="inlineStr">
        <is>
          <t>HULTSFRED</t>
        </is>
      </c>
      <c r="G86" t="n">
        <v>13.1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HYPERLINK("https://klasma.github.io/Logging_0860/artfynd/A 2637-2023 artfynd.xlsx", "A 2637-2023")</f>
        <v/>
      </c>
      <c r="T86">
        <f>HYPERLINK("https://klasma.github.io/Logging_0860/kartor/A 2637-2023 karta.png", "A 2637-2023")</f>
        <v/>
      </c>
      <c r="V86">
        <f>HYPERLINK("https://klasma.github.io/Logging_0860/klagomål/A 2637-2023 FSC-klagomål.docx", "A 2637-2023")</f>
        <v/>
      </c>
      <c r="W86">
        <f>HYPERLINK("https://klasma.github.io/Logging_0860/klagomålsmail/A 2637-2023 FSC-klagomål mail.docx", "A 2637-2023")</f>
        <v/>
      </c>
      <c r="X86">
        <f>HYPERLINK("https://klasma.github.io/Logging_0860/tillsyn/A 2637-2023 tillsynsbegäran.docx", "A 2637-2023")</f>
        <v/>
      </c>
      <c r="Y86">
        <f>HYPERLINK("https://klasma.github.io/Logging_0860/tillsynsmail/A 2637-2023 tillsynsbegäran mail.docx", "A 2637-2023")</f>
        <v/>
      </c>
    </row>
    <row r="87" ht="15" customHeight="1">
      <c r="A87" t="inlineStr">
        <is>
          <t>A 10333-2023</t>
        </is>
      </c>
      <c r="B87" s="1" t="n">
        <v>44980</v>
      </c>
      <c r="C87" s="1" t="n">
        <v>45795</v>
      </c>
      <c r="D87" t="inlineStr">
        <is>
          <t>KALMAR LÄN</t>
        </is>
      </c>
      <c r="E87" t="inlineStr">
        <is>
          <t>HULTSFRED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10333-2023 artfynd.xlsx", "A 10333-2023")</f>
        <v/>
      </c>
      <c r="T87">
        <f>HYPERLINK("https://klasma.github.io/Logging_0860/kartor/A 10333-2023 karta.png", "A 10333-2023")</f>
        <v/>
      </c>
      <c r="V87">
        <f>HYPERLINK("https://klasma.github.io/Logging_0860/klagomål/A 10333-2023 FSC-klagomål.docx", "A 10333-2023")</f>
        <v/>
      </c>
      <c r="W87">
        <f>HYPERLINK("https://klasma.github.io/Logging_0860/klagomålsmail/A 10333-2023 FSC-klagomål mail.docx", "A 10333-2023")</f>
        <v/>
      </c>
      <c r="X87">
        <f>HYPERLINK("https://klasma.github.io/Logging_0860/tillsyn/A 10333-2023 tillsynsbegäran.docx", "A 10333-2023")</f>
        <v/>
      </c>
      <c r="Y87">
        <f>HYPERLINK("https://klasma.github.io/Logging_0860/tillsynsmail/A 10333-2023 tillsynsbegäran mail.docx", "A 10333-2023")</f>
        <v/>
      </c>
    </row>
    <row r="88" ht="15" customHeight="1">
      <c r="A88" t="inlineStr">
        <is>
          <t>A 14095-2023</t>
        </is>
      </c>
      <c r="B88" s="1" t="n">
        <v>45009</v>
      </c>
      <c r="C88" s="1" t="n">
        <v>45795</v>
      </c>
      <c r="D88" t="inlineStr">
        <is>
          <t>KALMAR LÄN</t>
        </is>
      </c>
      <c r="E88" t="inlineStr">
        <is>
          <t>HULTSFRED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Dvärgkällmossa</t>
        </is>
      </c>
      <c r="S88">
        <f>HYPERLINK("https://klasma.github.io/Logging_0860/artfynd/A 14095-2023 artfynd.xlsx", "A 14095-2023")</f>
        <v/>
      </c>
      <c r="T88">
        <f>HYPERLINK("https://klasma.github.io/Logging_0860/kartor/A 14095-2023 karta.png", "A 14095-2023")</f>
        <v/>
      </c>
      <c r="V88">
        <f>HYPERLINK("https://klasma.github.io/Logging_0860/klagomål/A 14095-2023 FSC-klagomål.docx", "A 14095-2023")</f>
        <v/>
      </c>
      <c r="W88">
        <f>HYPERLINK("https://klasma.github.io/Logging_0860/klagomålsmail/A 14095-2023 FSC-klagomål mail.docx", "A 14095-2023")</f>
        <v/>
      </c>
      <c r="X88">
        <f>HYPERLINK("https://klasma.github.io/Logging_0860/tillsyn/A 14095-2023 tillsynsbegäran.docx", "A 14095-2023")</f>
        <v/>
      </c>
      <c r="Y88">
        <f>HYPERLINK("https://klasma.github.io/Logging_0860/tillsynsmail/A 14095-2023 tillsynsbegäran mail.docx", "A 14095-2023")</f>
        <v/>
      </c>
    </row>
    <row r="89" ht="15" customHeight="1">
      <c r="A89" t="inlineStr">
        <is>
          <t>A 15440-2023</t>
        </is>
      </c>
      <c r="B89" s="1" t="n">
        <v>45016</v>
      </c>
      <c r="C89" s="1" t="n">
        <v>45795</v>
      </c>
      <c r="D89" t="inlineStr">
        <is>
          <t>KALMAR LÄN</t>
        </is>
      </c>
      <c r="E89" t="inlineStr">
        <is>
          <t>HULTSFRED</t>
        </is>
      </c>
      <c r="G89" t="n">
        <v>3.1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15440-2023 artfynd.xlsx", "A 15440-2023")</f>
        <v/>
      </c>
      <c r="T89">
        <f>HYPERLINK("https://klasma.github.io/Logging_0860/kartor/A 15440-2023 karta.png", "A 15440-2023")</f>
        <v/>
      </c>
      <c r="V89">
        <f>HYPERLINK("https://klasma.github.io/Logging_0860/klagomål/A 15440-2023 FSC-klagomål.docx", "A 15440-2023")</f>
        <v/>
      </c>
      <c r="W89">
        <f>HYPERLINK("https://klasma.github.io/Logging_0860/klagomålsmail/A 15440-2023 FSC-klagomål mail.docx", "A 15440-2023")</f>
        <v/>
      </c>
      <c r="X89">
        <f>HYPERLINK("https://klasma.github.io/Logging_0860/tillsyn/A 15440-2023 tillsynsbegäran.docx", "A 15440-2023")</f>
        <v/>
      </c>
      <c r="Y89">
        <f>HYPERLINK("https://klasma.github.io/Logging_0860/tillsynsmail/A 15440-2023 tillsynsbegäran mail.docx", "A 15440-2023")</f>
        <v/>
      </c>
      <c r="Z89">
        <f>HYPERLINK("https://klasma.github.io/Logging_0860/fåglar/A 15440-2023 prioriterade fågelarter.docx", "A 15440-2023")</f>
        <v/>
      </c>
    </row>
    <row r="90" ht="15" customHeight="1">
      <c r="A90" t="inlineStr">
        <is>
          <t>A 26685-2023</t>
        </is>
      </c>
      <c r="B90" s="1" t="n">
        <v>45093</v>
      </c>
      <c r="C90" s="1" t="n">
        <v>45795</v>
      </c>
      <c r="D90" t="inlineStr">
        <is>
          <t>KALMAR LÄN</t>
        </is>
      </c>
      <c r="E90" t="inlineStr">
        <is>
          <t>HULTSFRED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26685-2023 artfynd.xlsx", "A 26685-2023")</f>
        <v/>
      </c>
      <c r="T90">
        <f>HYPERLINK("https://klasma.github.io/Logging_0860/kartor/A 26685-2023 karta.png", "A 26685-2023")</f>
        <v/>
      </c>
      <c r="V90">
        <f>HYPERLINK("https://klasma.github.io/Logging_0860/klagomål/A 26685-2023 FSC-klagomål.docx", "A 26685-2023")</f>
        <v/>
      </c>
      <c r="W90">
        <f>HYPERLINK("https://klasma.github.io/Logging_0860/klagomålsmail/A 26685-2023 FSC-klagomål mail.docx", "A 26685-2023")</f>
        <v/>
      </c>
      <c r="X90">
        <f>HYPERLINK("https://klasma.github.io/Logging_0860/tillsyn/A 26685-2023 tillsynsbegäran.docx", "A 26685-2023")</f>
        <v/>
      </c>
      <c r="Y90">
        <f>HYPERLINK("https://klasma.github.io/Logging_0860/tillsynsmail/A 26685-2023 tillsynsbegäran mail.docx", "A 26685-2023")</f>
        <v/>
      </c>
    </row>
    <row r="91" ht="15" customHeight="1">
      <c r="A91" t="inlineStr">
        <is>
          <t>A 35517-2023</t>
        </is>
      </c>
      <c r="B91" s="1" t="n">
        <v>45147</v>
      </c>
      <c r="C91" s="1" t="n">
        <v>45795</v>
      </c>
      <c r="D91" t="inlineStr">
        <is>
          <t>KALMAR LÄN</t>
        </is>
      </c>
      <c r="E91" t="inlineStr">
        <is>
          <t>HULTSFRED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HYPERLINK("https://klasma.github.io/Logging_0860/artfynd/A 35517-2023 artfynd.xlsx", "A 35517-2023")</f>
        <v/>
      </c>
      <c r="T91">
        <f>HYPERLINK("https://klasma.github.io/Logging_0860/kartor/A 35517-2023 karta.png", "A 35517-2023")</f>
        <v/>
      </c>
      <c r="V91">
        <f>HYPERLINK("https://klasma.github.io/Logging_0860/klagomål/A 35517-2023 FSC-klagomål.docx", "A 35517-2023")</f>
        <v/>
      </c>
      <c r="W91">
        <f>HYPERLINK("https://klasma.github.io/Logging_0860/klagomålsmail/A 35517-2023 FSC-klagomål mail.docx", "A 35517-2023")</f>
        <v/>
      </c>
      <c r="X91">
        <f>HYPERLINK("https://klasma.github.io/Logging_0860/tillsyn/A 35517-2023 tillsynsbegäran.docx", "A 35517-2023")</f>
        <v/>
      </c>
      <c r="Y91">
        <f>HYPERLINK("https://klasma.github.io/Logging_0860/tillsynsmail/A 35517-2023 tillsynsbegäran mail.docx", "A 35517-2023")</f>
        <v/>
      </c>
    </row>
    <row r="92" ht="15" customHeight="1">
      <c r="A92" t="inlineStr">
        <is>
          <t>A 37330-2023</t>
        </is>
      </c>
      <c r="B92" s="1" t="n">
        <v>45156</v>
      </c>
      <c r="C92" s="1" t="n">
        <v>45795</v>
      </c>
      <c r="D92" t="inlineStr">
        <is>
          <t>KALMAR LÄN</t>
        </is>
      </c>
      <c r="E92" t="inlineStr">
        <is>
          <t>HULTSFRED</t>
        </is>
      </c>
      <c r="G92" t="n">
        <v>2.6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37330-2023 artfynd.xlsx", "A 37330-2023")</f>
        <v/>
      </c>
      <c r="T92">
        <f>HYPERLINK("https://klasma.github.io/Logging_0860/kartor/A 37330-2023 karta.png", "A 37330-2023")</f>
        <v/>
      </c>
      <c r="U92">
        <f>HYPERLINK("https://klasma.github.io/Logging_0860/knärot/A 37330-2023 karta knärot.png", "A 37330-2023")</f>
        <v/>
      </c>
      <c r="V92">
        <f>HYPERLINK("https://klasma.github.io/Logging_0860/klagomål/A 37330-2023 FSC-klagomål.docx", "A 37330-2023")</f>
        <v/>
      </c>
      <c r="W92">
        <f>HYPERLINK("https://klasma.github.io/Logging_0860/klagomålsmail/A 37330-2023 FSC-klagomål mail.docx", "A 37330-2023")</f>
        <v/>
      </c>
      <c r="X92">
        <f>HYPERLINK("https://klasma.github.io/Logging_0860/tillsyn/A 37330-2023 tillsynsbegäran.docx", "A 37330-2023")</f>
        <v/>
      </c>
      <c r="Y92">
        <f>HYPERLINK("https://klasma.github.io/Logging_0860/tillsynsmail/A 37330-2023 tillsynsbegäran mail.docx", "A 37330-2023")</f>
        <v/>
      </c>
    </row>
    <row r="93" ht="15" customHeight="1">
      <c r="A93" t="inlineStr">
        <is>
          <t>A 40256-2023</t>
        </is>
      </c>
      <c r="B93" s="1" t="n">
        <v>45169</v>
      </c>
      <c r="C93" s="1" t="n">
        <v>45795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Tofsvipa</t>
        </is>
      </c>
      <c r="S93">
        <f>HYPERLINK("https://klasma.github.io/Logging_0860/artfynd/A 40256-2023 artfynd.xlsx", "A 40256-2023")</f>
        <v/>
      </c>
      <c r="T93">
        <f>HYPERLINK("https://klasma.github.io/Logging_0860/kartor/A 40256-2023 karta.png", "A 40256-2023")</f>
        <v/>
      </c>
      <c r="V93">
        <f>HYPERLINK("https://klasma.github.io/Logging_0860/klagomål/A 40256-2023 FSC-klagomål.docx", "A 40256-2023")</f>
        <v/>
      </c>
      <c r="W93">
        <f>HYPERLINK("https://klasma.github.io/Logging_0860/klagomålsmail/A 40256-2023 FSC-klagomål mail.docx", "A 40256-2023")</f>
        <v/>
      </c>
      <c r="X93">
        <f>HYPERLINK("https://klasma.github.io/Logging_0860/tillsyn/A 40256-2023 tillsynsbegäran.docx", "A 40256-2023")</f>
        <v/>
      </c>
      <c r="Y93">
        <f>HYPERLINK("https://klasma.github.io/Logging_0860/tillsynsmail/A 40256-2023 tillsynsbegäran mail.docx", "A 40256-2023")</f>
        <v/>
      </c>
    </row>
    <row r="94" ht="15" customHeight="1">
      <c r="A94" t="inlineStr">
        <is>
          <t>A 42375-2023</t>
        </is>
      </c>
      <c r="B94" s="1" t="n">
        <v>45175</v>
      </c>
      <c r="C94" s="1" t="n">
        <v>45795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HYPERLINK("https://klasma.github.io/Logging_0860/artfynd/A 42375-2023 artfynd.xlsx", "A 42375-2023")</f>
        <v/>
      </c>
      <c r="T94">
        <f>HYPERLINK("https://klasma.github.io/Logging_0860/kartor/A 42375-2023 karta.png", "A 42375-2023")</f>
        <v/>
      </c>
      <c r="V94">
        <f>HYPERLINK("https://klasma.github.io/Logging_0860/klagomål/A 42375-2023 FSC-klagomål.docx", "A 42375-2023")</f>
        <v/>
      </c>
      <c r="W94">
        <f>HYPERLINK("https://klasma.github.io/Logging_0860/klagomålsmail/A 42375-2023 FSC-klagomål mail.docx", "A 42375-2023")</f>
        <v/>
      </c>
      <c r="X94">
        <f>HYPERLINK("https://klasma.github.io/Logging_0860/tillsyn/A 42375-2023 tillsynsbegäran.docx", "A 42375-2023")</f>
        <v/>
      </c>
      <c r="Y94">
        <f>HYPERLINK("https://klasma.github.io/Logging_0860/tillsynsmail/A 42375-2023 tillsynsbegäran mail.docx", "A 42375-2023")</f>
        <v/>
      </c>
      <c r="Z94">
        <f>HYPERLINK("https://klasma.github.io/Logging_0860/fåglar/A 42375-2023 prioriterade fågelarter.docx", "A 42375-2023")</f>
        <v/>
      </c>
    </row>
    <row r="95" ht="15" customHeight="1">
      <c r="A95" t="inlineStr">
        <is>
          <t>A 43210-2023</t>
        </is>
      </c>
      <c r="B95" s="1" t="n">
        <v>45183</v>
      </c>
      <c r="C95" s="1" t="n">
        <v>45795</v>
      </c>
      <c r="D95" t="inlineStr">
        <is>
          <t>KALMAR LÄN</t>
        </is>
      </c>
      <c r="E95" t="inlineStr">
        <is>
          <t>HULTSFRED</t>
        </is>
      </c>
      <c r="G95" t="n">
        <v>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43210-2023 artfynd.xlsx", "A 43210-2023")</f>
        <v/>
      </c>
      <c r="T95">
        <f>HYPERLINK("https://klasma.github.io/Logging_0860/kartor/A 43210-2023 karta.png", "A 43210-2023")</f>
        <v/>
      </c>
      <c r="U95">
        <f>HYPERLINK("https://klasma.github.io/Logging_0860/knärot/A 43210-2023 karta knärot.png", "A 43210-2023")</f>
        <v/>
      </c>
      <c r="V95">
        <f>HYPERLINK("https://klasma.github.io/Logging_0860/klagomål/A 43210-2023 FSC-klagomål.docx", "A 43210-2023")</f>
        <v/>
      </c>
      <c r="W95">
        <f>HYPERLINK("https://klasma.github.io/Logging_0860/klagomålsmail/A 43210-2023 FSC-klagomål mail.docx", "A 43210-2023")</f>
        <v/>
      </c>
      <c r="X95">
        <f>HYPERLINK("https://klasma.github.io/Logging_0860/tillsyn/A 43210-2023 tillsynsbegäran.docx", "A 43210-2023")</f>
        <v/>
      </c>
      <c r="Y95">
        <f>HYPERLINK("https://klasma.github.io/Logging_0860/tillsynsmail/A 43210-2023 tillsynsbegäran mail.docx", "A 43210-2023")</f>
        <v/>
      </c>
    </row>
    <row r="96" ht="15" customHeight="1">
      <c r="A96" t="inlineStr">
        <is>
          <t>A 44723-2023</t>
        </is>
      </c>
      <c r="B96" s="1" t="n">
        <v>45190</v>
      </c>
      <c r="C96" s="1" t="n">
        <v>45795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44723-2023 artfynd.xlsx", "A 44723-2023")</f>
        <v/>
      </c>
      <c r="T96">
        <f>HYPERLINK("https://klasma.github.io/Logging_0860/kartor/A 44723-2023 karta.png", "A 44723-2023")</f>
        <v/>
      </c>
      <c r="U96">
        <f>HYPERLINK("https://klasma.github.io/Logging_0860/knärot/A 44723-2023 karta knärot.png", "A 44723-2023")</f>
        <v/>
      </c>
      <c r="V96">
        <f>HYPERLINK("https://klasma.github.io/Logging_0860/klagomål/A 44723-2023 FSC-klagomål.docx", "A 44723-2023")</f>
        <v/>
      </c>
      <c r="W96">
        <f>HYPERLINK("https://klasma.github.io/Logging_0860/klagomålsmail/A 44723-2023 FSC-klagomål mail.docx", "A 44723-2023")</f>
        <v/>
      </c>
      <c r="X96">
        <f>HYPERLINK("https://klasma.github.io/Logging_0860/tillsyn/A 44723-2023 tillsynsbegäran.docx", "A 44723-2023")</f>
        <v/>
      </c>
      <c r="Y96">
        <f>HYPERLINK("https://klasma.github.io/Logging_0860/tillsynsmail/A 44723-2023 tillsynsbegäran mail.docx", "A 44723-2023")</f>
        <v/>
      </c>
    </row>
    <row r="97" ht="15" customHeight="1">
      <c r="A97" t="inlineStr">
        <is>
          <t>A 45301-2023</t>
        </is>
      </c>
      <c r="B97" s="1" t="n">
        <v>45191</v>
      </c>
      <c r="C97" s="1" t="n">
        <v>45795</v>
      </c>
      <c r="D97" t="inlineStr">
        <is>
          <t>KALMAR LÄN</t>
        </is>
      </c>
      <c r="E97" t="inlineStr">
        <is>
          <t>HULTSFRED</t>
        </is>
      </c>
      <c r="F97" t="inlineStr">
        <is>
          <t>Övriga Aktiebolag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45301-2023 artfynd.xlsx", "A 45301-2023")</f>
        <v/>
      </c>
      <c r="T97">
        <f>HYPERLINK("https://klasma.github.io/Logging_0860/kartor/A 45301-2023 karta.png", "A 45301-2023")</f>
        <v/>
      </c>
      <c r="U97">
        <f>HYPERLINK("https://klasma.github.io/Logging_0860/knärot/A 45301-2023 karta knärot.png", "A 45301-2023")</f>
        <v/>
      </c>
      <c r="V97">
        <f>HYPERLINK("https://klasma.github.io/Logging_0860/klagomål/A 45301-2023 FSC-klagomål.docx", "A 45301-2023")</f>
        <v/>
      </c>
      <c r="W97">
        <f>HYPERLINK("https://klasma.github.io/Logging_0860/klagomålsmail/A 45301-2023 FSC-klagomål mail.docx", "A 45301-2023")</f>
        <v/>
      </c>
      <c r="X97">
        <f>HYPERLINK("https://klasma.github.io/Logging_0860/tillsyn/A 45301-2023 tillsynsbegäran.docx", "A 45301-2023")</f>
        <v/>
      </c>
      <c r="Y97">
        <f>HYPERLINK("https://klasma.github.io/Logging_0860/tillsynsmail/A 45301-2023 tillsynsbegäran mail.docx", "A 45301-2023")</f>
        <v/>
      </c>
    </row>
    <row r="98" ht="15" customHeight="1">
      <c r="A98" t="inlineStr">
        <is>
          <t>A 50296-2023</t>
        </is>
      </c>
      <c r="B98" s="1" t="n">
        <v>45216</v>
      </c>
      <c r="C98" s="1" t="n">
        <v>45795</v>
      </c>
      <c r="D98" t="inlineStr">
        <is>
          <t>KALMAR LÄN</t>
        </is>
      </c>
      <c r="E98" t="inlineStr">
        <is>
          <t>HULTSFRED</t>
        </is>
      </c>
      <c r="G98" t="n">
        <v>8.5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50296-2023 artfynd.xlsx", "A 50296-2023")</f>
        <v/>
      </c>
      <c r="T98">
        <f>HYPERLINK("https://klasma.github.io/Logging_0860/kartor/A 50296-2023 karta.png", "A 50296-2023")</f>
        <v/>
      </c>
      <c r="U98">
        <f>HYPERLINK("https://klasma.github.io/Logging_0860/knärot/A 50296-2023 karta knärot.png", "A 50296-2023")</f>
        <v/>
      </c>
      <c r="V98">
        <f>HYPERLINK("https://klasma.github.io/Logging_0860/klagomål/A 50296-2023 FSC-klagomål.docx", "A 50296-2023")</f>
        <v/>
      </c>
      <c r="W98">
        <f>HYPERLINK("https://klasma.github.io/Logging_0860/klagomålsmail/A 50296-2023 FSC-klagomål mail.docx", "A 50296-2023")</f>
        <v/>
      </c>
      <c r="X98">
        <f>HYPERLINK("https://klasma.github.io/Logging_0860/tillsyn/A 50296-2023 tillsynsbegäran.docx", "A 50296-2023")</f>
        <v/>
      </c>
      <c r="Y98">
        <f>HYPERLINK("https://klasma.github.io/Logging_0860/tillsynsmail/A 50296-2023 tillsynsbegäran mail.docx", "A 50296-2023")</f>
        <v/>
      </c>
    </row>
    <row r="99" ht="15" customHeight="1">
      <c r="A99" t="inlineStr">
        <is>
          <t>A 52207-2023</t>
        </is>
      </c>
      <c r="B99" s="1" t="n">
        <v>45224</v>
      </c>
      <c r="C99" s="1" t="n">
        <v>45795</v>
      </c>
      <c r="D99" t="inlineStr">
        <is>
          <t>KALMAR LÄN</t>
        </is>
      </c>
      <c r="E99" t="inlineStr">
        <is>
          <t>HULTSFRED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HYPERLINK("https://klasma.github.io/Logging_0860/artfynd/A 52207-2023 artfynd.xlsx", "A 52207-2023")</f>
        <v/>
      </c>
      <c r="T99">
        <f>HYPERLINK("https://klasma.github.io/Logging_0860/kartor/A 52207-2023 karta.png", "A 52207-2023")</f>
        <v/>
      </c>
      <c r="V99">
        <f>HYPERLINK("https://klasma.github.io/Logging_0860/klagomål/A 52207-2023 FSC-klagomål.docx", "A 52207-2023")</f>
        <v/>
      </c>
      <c r="W99">
        <f>HYPERLINK("https://klasma.github.io/Logging_0860/klagomålsmail/A 52207-2023 FSC-klagomål mail.docx", "A 52207-2023")</f>
        <v/>
      </c>
      <c r="X99">
        <f>HYPERLINK("https://klasma.github.io/Logging_0860/tillsyn/A 52207-2023 tillsynsbegäran.docx", "A 52207-2023")</f>
        <v/>
      </c>
      <c r="Y99">
        <f>HYPERLINK("https://klasma.github.io/Logging_0860/tillsynsmail/A 52207-2023 tillsynsbegäran mail.docx", "A 52207-2023")</f>
        <v/>
      </c>
    </row>
    <row r="100" ht="15" customHeight="1">
      <c r="A100" t="inlineStr">
        <is>
          <t>A 52690-2023</t>
        </is>
      </c>
      <c r="B100" s="1" t="n">
        <v>45225</v>
      </c>
      <c r="C100" s="1" t="n">
        <v>45795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HYPERLINK("https://klasma.github.io/Logging_0860/artfynd/A 52690-2023 artfynd.xlsx", "A 52690-2023")</f>
        <v/>
      </c>
      <c r="T100">
        <f>HYPERLINK("https://klasma.github.io/Logging_0860/kartor/A 52690-2023 karta.png", "A 52690-2023")</f>
        <v/>
      </c>
      <c r="V100">
        <f>HYPERLINK("https://klasma.github.io/Logging_0860/klagomål/A 52690-2023 FSC-klagomål.docx", "A 52690-2023")</f>
        <v/>
      </c>
      <c r="W100">
        <f>HYPERLINK("https://klasma.github.io/Logging_0860/klagomålsmail/A 52690-2023 FSC-klagomål mail.docx", "A 52690-2023")</f>
        <v/>
      </c>
      <c r="X100">
        <f>HYPERLINK("https://klasma.github.io/Logging_0860/tillsyn/A 52690-2023 tillsynsbegäran.docx", "A 52690-2023")</f>
        <v/>
      </c>
      <c r="Y100">
        <f>HYPERLINK("https://klasma.github.io/Logging_0860/tillsynsmail/A 52690-2023 tillsynsbegäran mail.docx", "A 52690-2023")</f>
        <v/>
      </c>
    </row>
    <row r="101" ht="15" customHeight="1">
      <c r="A101" t="inlineStr">
        <is>
          <t>A 55516-2023</t>
        </is>
      </c>
      <c r="B101" s="1" t="n">
        <v>45238</v>
      </c>
      <c r="C101" s="1" t="n">
        <v>45795</v>
      </c>
      <c r="D101" t="inlineStr">
        <is>
          <t>KALMAR LÄN</t>
        </is>
      </c>
      <c r="E101" t="inlineStr">
        <is>
          <t>HULTSFRED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HYPERLINK("https://klasma.github.io/Logging_0860/artfynd/A 55516-2023 artfynd.xlsx", "A 55516-2023")</f>
        <v/>
      </c>
      <c r="T101">
        <f>HYPERLINK("https://klasma.github.io/Logging_0860/kartor/A 55516-2023 karta.png", "A 55516-2023")</f>
        <v/>
      </c>
      <c r="V101">
        <f>HYPERLINK("https://klasma.github.io/Logging_0860/klagomål/A 55516-2023 FSC-klagomål.docx", "A 55516-2023")</f>
        <v/>
      </c>
      <c r="W101">
        <f>HYPERLINK("https://klasma.github.io/Logging_0860/klagomålsmail/A 55516-2023 FSC-klagomål mail.docx", "A 55516-2023")</f>
        <v/>
      </c>
      <c r="X101">
        <f>HYPERLINK("https://klasma.github.io/Logging_0860/tillsyn/A 55516-2023 tillsynsbegäran.docx", "A 55516-2023")</f>
        <v/>
      </c>
      <c r="Y101">
        <f>HYPERLINK("https://klasma.github.io/Logging_0860/tillsynsmail/A 55516-2023 tillsynsbegäran mail.docx", "A 55516-2023")</f>
        <v/>
      </c>
    </row>
    <row r="102" ht="15" customHeight="1">
      <c r="A102" t="inlineStr">
        <is>
          <t>A 55758-2023</t>
        </is>
      </c>
      <c r="B102" s="1" t="n">
        <v>45239</v>
      </c>
      <c r="C102" s="1" t="n">
        <v>45795</v>
      </c>
      <c r="D102" t="inlineStr">
        <is>
          <t>KALMAR LÄN</t>
        </is>
      </c>
      <c r="E102" t="inlineStr">
        <is>
          <t>HULTSFRED</t>
        </is>
      </c>
      <c r="G102" t="n">
        <v>6.7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Korskovall</t>
        </is>
      </c>
      <c r="S102">
        <f>HYPERLINK("https://klasma.github.io/Logging_0860/artfynd/A 55758-2023 artfynd.xlsx", "A 55758-2023")</f>
        <v/>
      </c>
      <c r="T102">
        <f>HYPERLINK("https://klasma.github.io/Logging_0860/kartor/A 55758-2023 karta.png", "A 55758-2023")</f>
        <v/>
      </c>
      <c r="V102">
        <f>HYPERLINK("https://klasma.github.io/Logging_0860/klagomål/A 55758-2023 FSC-klagomål.docx", "A 55758-2023")</f>
        <v/>
      </c>
      <c r="W102">
        <f>HYPERLINK("https://klasma.github.io/Logging_0860/klagomålsmail/A 55758-2023 FSC-klagomål mail.docx", "A 55758-2023")</f>
        <v/>
      </c>
      <c r="X102">
        <f>HYPERLINK("https://klasma.github.io/Logging_0860/tillsyn/A 55758-2023 tillsynsbegäran.docx", "A 55758-2023")</f>
        <v/>
      </c>
      <c r="Y102">
        <f>HYPERLINK("https://klasma.github.io/Logging_0860/tillsynsmail/A 55758-2023 tillsynsbegäran mail.docx", "A 55758-2023")</f>
        <v/>
      </c>
    </row>
    <row r="103" ht="15" customHeight="1">
      <c r="A103" t="inlineStr">
        <is>
          <t>A 4254-2024</t>
        </is>
      </c>
      <c r="B103" s="1" t="n">
        <v>45324</v>
      </c>
      <c r="C103" s="1" t="n">
        <v>45795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4254-2024 artfynd.xlsx", "A 4254-2024")</f>
        <v/>
      </c>
      <c r="T103">
        <f>HYPERLINK("https://klasma.github.io/Logging_0860/kartor/A 4254-2024 karta.png", "A 4254-2024")</f>
        <v/>
      </c>
      <c r="U103">
        <f>HYPERLINK("https://klasma.github.io/Logging_0860/knärot/A 4254-2024 karta knärot.png", "A 4254-2024")</f>
        <v/>
      </c>
      <c r="V103">
        <f>HYPERLINK("https://klasma.github.io/Logging_0860/klagomål/A 4254-2024 FSC-klagomål.docx", "A 4254-2024")</f>
        <v/>
      </c>
      <c r="W103">
        <f>HYPERLINK("https://klasma.github.io/Logging_0860/klagomålsmail/A 4254-2024 FSC-klagomål mail.docx", "A 4254-2024")</f>
        <v/>
      </c>
      <c r="X103">
        <f>HYPERLINK("https://klasma.github.io/Logging_0860/tillsyn/A 4254-2024 tillsynsbegäran.docx", "A 4254-2024")</f>
        <v/>
      </c>
      <c r="Y103">
        <f>HYPERLINK("https://klasma.github.io/Logging_0860/tillsynsmail/A 4254-2024 tillsynsbegäran mail.docx", "A 4254-2024")</f>
        <v/>
      </c>
    </row>
    <row r="104" ht="15" customHeight="1">
      <c r="A104" t="inlineStr">
        <is>
          <t>A 4257-2024</t>
        </is>
      </c>
      <c r="B104" s="1" t="n">
        <v>45324</v>
      </c>
      <c r="C104" s="1" t="n">
        <v>45795</v>
      </c>
      <c r="D104" t="inlineStr">
        <is>
          <t>KALMAR LÄN</t>
        </is>
      </c>
      <c r="E104" t="inlineStr">
        <is>
          <t>HULTSFRED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4257-2024 artfynd.xlsx", "A 4257-2024")</f>
        <v/>
      </c>
      <c r="T104">
        <f>HYPERLINK("https://klasma.github.io/Logging_0860/kartor/A 4257-2024 karta.png", "A 4257-2024")</f>
        <v/>
      </c>
      <c r="U104">
        <f>HYPERLINK("https://klasma.github.io/Logging_0860/knärot/A 4257-2024 karta knärot.png", "A 4257-2024")</f>
        <v/>
      </c>
      <c r="V104">
        <f>HYPERLINK("https://klasma.github.io/Logging_0860/klagomål/A 4257-2024 FSC-klagomål.docx", "A 4257-2024")</f>
        <v/>
      </c>
      <c r="W104">
        <f>HYPERLINK("https://klasma.github.io/Logging_0860/klagomålsmail/A 4257-2024 FSC-klagomål mail.docx", "A 4257-2024")</f>
        <v/>
      </c>
      <c r="X104">
        <f>HYPERLINK("https://klasma.github.io/Logging_0860/tillsyn/A 4257-2024 tillsynsbegäran.docx", "A 4257-2024")</f>
        <v/>
      </c>
      <c r="Y104">
        <f>HYPERLINK("https://klasma.github.io/Logging_0860/tillsynsmail/A 4257-2024 tillsynsbegäran mail.docx", "A 4257-2024")</f>
        <v/>
      </c>
    </row>
    <row r="105" ht="15" customHeight="1">
      <c r="A105" t="inlineStr">
        <is>
          <t>A 4677-2024</t>
        </is>
      </c>
      <c r="B105" s="1" t="n">
        <v>45328</v>
      </c>
      <c r="C105" s="1" t="n">
        <v>45795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4677-2024 artfynd.xlsx", "A 4677-2024")</f>
        <v/>
      </c>
      <c r="T105">
        <f>HYPERLINK("https://klasma.github.io/Logging_0860/kartor/A 4677-2024 karta.png", "A 4677-2024")</f>
        <v/>
      </c>
      <c r="U105">
        <f>HYPERLINK("https://klasma.github.io/Logging_0860/knärot/A 4677-2024 karta knärot.png", "A 4677-2024")</f>
        <v/>
      </c>
      <c r="V105">
        <f>HYPERLINK("https://klasma.github.io/Logging_0860/klagomål/A 4677-2024 FSC-klagomål.docx", "A 4677-2024")</f>
        <v/>
      </c>
      <c r="W105">
        <f>HYPERLINK("https://klasma.github.io/Logging_0860/klagomålsmail/A 4677-2024 FSC-klagomål mail.docx", "A 4677-2024")</f>
        <v/>
      </c>
      <c r="X105">
        <f>HYPERLINK("https://klasma.github.io/Logging_0860/tillsyn/A 4677-2024 tillsynsbegäran.docx", "A 4677-2024")</f>
        <v/>
      </c>
      <c r="Y105">
        <f>HYPERLINK("https://klasma.github.io/Logging_0860/tillsynsmail/A 4677-2024 tillsynsbegäran mail.docx", "A 4677-2024")</f>
        <v/>
      </c>
    </row>
    <row r="106" ht="15" customHeight="1">
      <c r="A106" t="inlineStr">
        <is>
          <t>A 14290-2024</t>
        </is>
      </c>
      <c r="B106" s="1" t="n">
        <v>45393</v>
      </c>
      <c r="C106" s="1" t="n">
        <v>45795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14290-2024 artfynd.xlsx", "A 14290-2024")</f>
        <v/>
      </c>
      <c r="T106">
        <f>HYPERLINK("https://klasma.github.io/Logging_0860/kartor/A 14290-2024 karta.png", "A 14290-2024")</f>
        <v/>
      </c>
      <c r="V106">
        <f>HYPERLINK("https://klasma.github.io/Logging_0860/klagomål/A 14290-2024 FSC-klagomål.docx", "A 14290-2024")</f>
        <v/>
      </c>
      <c r="W106">
        <f>HYPERLINK("https://klasma.github.io/Logging_0860/klagomålsmail/A 14290-2024 FSC-klagomål mail.docx", "A 14290-2024")</f>
        <v/>
      </c>
      <c r="X106">
        <f>HYPERLINK("https://klasma.github.io/Logging_0860/tillsyn/A 14290-2024 tillsynsbegäran.docx", "A 14290-2024")</f>
        <v/>
      </c>
      <c r="Y106">
        <f>HYPERLINK("https://klasma.github.io/Logging_0860/tillsynsmail/A 14290-2024 tillsynsbegäran mail.docx", "A 14290-2024")</f>
        <v/>
      </c>
    </row>
    <row r="107" ht="15" customHeight="1">
      <c r="A107" t="inlineStr">
        <is>
          <t>A 15110-2024</t>
        </is>
      </c>
      <c r="B107" s="1" t="n">
        <v>45399</v>
      </c>
      <c r="C107" s="1" t="n">
        <v>45795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HYPERLINK("https://klasma.github.io/Logging_0860/artfynd/A 15110-2024 artfynd.xlsx", "A 15110-2024")</f>
        <v/>
      </c>
      <c r="T107">
        <f>HYPERLINK("https://klasma.github.io/Logging_0860/kartor/A 15110-2024 karta.png", "A 15110-2024")</f>
        <v/>
      </c>
      <c r="V107">
        <f>HYPERLINK("https://klasma.github.io/Logging_0860/klagomål/A 15110-2024 FSC-klagomål.docx", "A 15110-2024")</f>
        <v/>
      </c>
      <c r="W107">
        <f>HYPERLINK("https://klasma.github.io/Logging_0860/klagomålsmail/A 15110-2024 FSC-klagomål mail.docx", "A 15110-2024")</f>
        <v/>
      </c>
      <c r="X107">
        <f>HYPERLINK("https://klasma.github.io/Logging_0860/tillsyn/A 15110-2024 tillsynsbegäran.docx", "A 15110-2024")</f>
        <v/>
      </c>
      <c r="Y107">
        <f>HYPERLINK("https://klasma.github.io/Logging_0860/tillsynsmail/A 15110-2024 tillsynsbegäran mail.docx", "A 15110-2024")</f>
        <v/>
      </c>
      <c r="Z107">
        <f>HYPERLINK("https://klasma.github.io/Logging_0860/fåglar/A 15110-2024 prioriterade fågelarter.docx", "A 15110-2024")</f>
        <v/>
      </c>
    </row>
    <row r="108" ht="15" customHeight="1">
      <c r="A108" t="inlineStr">
        <is>
          <t>A 15173-2024</t>
        </is>
      </c>
      <c r="B108" s="1" t="n">
        <v>45400</v>
      </c>
      <c r="C108" s="1" t="n">
        <v>45795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HYPERLINK("https://klasma.github.io/Logging_0860/artfynd/A 15173-2024 artfynd.xlsx", "A 15173-2024")</f>
        <v/>
      </c>
      <c r="T108">
        <f>HYPERLINK("https://klasma.github.io/Logging_0860/kartor/A 15173-2024 karta.png", "A 15173-2024")</f>
        <v/>
      </c>
      <c r="V108">
        <f>HYPERLINK("https://klasma.github.io/Logging_0860/klagomål/A 15173-2024 FSC-klagomål.docx", "A 15173-2024")</f>
        <v/>
      </c>
      <c r="W108">
        <f>HYPERLINK("https://klasma.github.io/Logging_0860/klagomålsmail/A 15173-2024 FSC-klagomål mail.docx", "A 15173-2024")</f>
        <v/>
      </c>
      <c r="X108">
        <f>HYPERLINK("https://klasma.github.io/Logging_0860/tillsyn/A 15173-2024 tillsynsbegäran.docx", "A 15173-2024")</f>
        <v/>
      </c>
      <c r="Y108">
        <f>HYPERLINK("https://klasma.github.io/Logging_0860/tillsynsmail/A 15173-2024 tillsynsbegäran mail.docx", "A 15173-2024")</f>
        <v/>
      </c>
    </row>
    <row r="109" ht="15" customHeight="1">
      <c r="A109" t="inlineStr">
        <is>
          <t>A 16987-2024</t>
        </is>
      </c>
      <c r="B109" s="1" t="n">
        <v>45412</v>
      </c>
      <c r="C109" s="1" t="n">
        <v>45795</v>
      </c>
      <c r="D109" t="inlineStr">
        <is>
          <t>KALMAR LÄN</t>
        </is>
      </c>
      <c r="E109" t="inlineStr">
        <is>
          <t>HULTSFRED</t>
        </is>
      </c>
      <c r="G109" t="n">
        <v>1.6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16987-2024 artfynd.xlsx", "A 16987-2024")</f>
        <v/>
      </c>
      <c r="T109">
        <f>HYPERLINK("https://klasma.github.io/Logging_0860/kartor/A 16987-2024 karta.png", "A 16987-2024")</f>
        <v/>
      </c>
      <c r="V109">
        <f>HYPERLINK("https://klasma.github.io/Logging_0860/klagomål/A 16987-2024 FSC-klagomål.docx", "A 16987-2024")</f>
        <v/>
      </c>
      <c r="W109">
        <f>HYPERLINK("https://klasma.github.io/Logging_0860/klagomålsmail/A 16987-2024 FSC-klagomål mail.docx", "A 16987-2024")</f>
        <v/>
      </c>
      <c r="X109">
        <f>HYPERLINK("https://klasma.github.io/Logging_0860/tillsyn/A 16987-2024 tillsynsbegäran.docx", "A 16987-2024")</f>
        <v/>
      </c>
      <c r="Y109">
        <f>HYPERLINK("https://klasma.github.io/Logging_0860/tillsynsmail/A 16987-2024 tillsynsbegäran mail.docx", "A 16987-2024")</f>
        <v/>
      </c>
    </row>
    <row r="110" ht="15" customHeight="1">
      <c r="A110" t="inlineStr">
        <is>
          <t>A 23082-2024</t>
        </is>
      </c>
      <c r="B110" s="1" t="n">
        <v>45450</v>
      </c>
      <c r="C110" s="1" t="n">
        <v>45795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23082-2024 artfynd.xlsx", "A 23082-2024")</f>
        <v/>
      </c>
      <c r="T110">
        <f>HYPERLINK("https://klasma.github.io/Logging_0860/kartor/A 23082-2024 karta.png", "A 23082-2024")</f>
        <v/>
      </c>
      <c r="V110">
        <f>HYPERLINK("https://klasma.github.io/Logging_0860/klagomål/A 23082-2024 FSC-klagomål.docx", "A 23082-2024")</f>
        <v/>
      </c>
      <c r="W110">
        <f>HYPERLINK("https://klasma.github.io/Logging_0860/klagomålsmail/A 23082-2024 FSC-klagomål mail.docx", "A 23082-2024")</f>
        <v/>
      </c>
      <c r="X110">
        <f>HYPERLINK("https://klasma.github.io/Logging_0860/tillsyn/A 23082-2024 tillsynsbegäran.docx", "A 23082-2024")</f>
        <v/>
      </c>
      <c r="Y110">
        <f>HYPERLINK("https://klasma.github.io/Logging_0860/tillsynsmail/A 23082-2024 tillsynsbegäran mail.docx", "A 23082-2024")</f>
        <v/>
      </c>
      <c r="Z110">
        <f>HYPERLINK("https://klasma.github.io/Logging_0860/fåglar/A 23082-2024 prioriterade fågelarter.docx", "A 23082-2024")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45795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45795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45795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45795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45795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45795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45795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45795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45795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45795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45795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45795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45795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45795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45795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45795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45795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45795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45795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45795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45795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45795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45795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45795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45795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45795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45795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45795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45795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45795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45795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45795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45795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45795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45795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45795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45795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45795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45795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45795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45795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45795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45795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45795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45795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45795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45795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45795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45795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45795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45795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45795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45795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45795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45795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45795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45795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45795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45795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45795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45795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45795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45795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45795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45795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45795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45795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45795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45795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45795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45795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45795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45795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45795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45795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45795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45795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45795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45795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45795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45795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45795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45795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45795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45795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45795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45795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45795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45795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45795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45795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45795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45795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45795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45795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45795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45795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45795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45795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45795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45795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45795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45795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45795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45795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45795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45795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45795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45795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45795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45795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45795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45795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45795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45795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45795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45795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45795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45795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45795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45795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45795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45795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45795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45795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45795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45795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45795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45795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45795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45795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45795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45795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45795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45795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45795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45795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45795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45795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45795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45795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45795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45795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45795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45795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45795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45795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45795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45795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45795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45795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45795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45795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45795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45795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45795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45795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45795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45795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45795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45795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45795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45795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45795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45795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45795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45795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45795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45795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45795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45795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45795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45795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45795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45795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45795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45795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45795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45795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45795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45795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45795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45795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45795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45795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45795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45795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45795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45795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45795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45795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45795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45795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45795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45795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45795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45795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45795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45795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45795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45795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45795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45795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45795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45795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45795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45795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45795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45795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45795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45795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45795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45795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45795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45795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45795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45795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45795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45795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45795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45795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45795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45795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45795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45795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45795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45795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45795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45795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45795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45795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45795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45795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45795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45795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45795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45795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45795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45795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45795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45795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45795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45795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45795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45795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45795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45795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45795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45795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45795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45795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45795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45795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45795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45795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45795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45795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45795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45795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45795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45795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45795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45795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45795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45795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45795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45795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45795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45795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45795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45795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45795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45795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45795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45795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45795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45795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45795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45795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45795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45795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45795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45795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45795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45795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45795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45795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45795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45795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45795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45795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45795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45795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45795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45795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45795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45795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45795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45795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45795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45795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45795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45795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45795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45795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45795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45795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45795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45795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45795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45795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45795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45795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45795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45795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45795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45795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45795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45795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45795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45795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45795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45795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45795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45795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45795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45795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45795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45795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45795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45795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45795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45795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45795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45795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45795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45795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45795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45795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45795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45795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45795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45795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45795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45795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45795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45795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45795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45795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45795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45795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45795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45795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45795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45795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45795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45795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45795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45795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45795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45795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45795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45795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45795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45795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45795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45795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45795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45795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45795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45795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45795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45795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45795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45795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45795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45795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45795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45795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45795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45795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45795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45795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45795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45795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45795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45795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45795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45795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45795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45795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45795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45795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45795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45795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45795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45795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45795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45795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45795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45795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45795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45795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45795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45795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45795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45795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45795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45795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45795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45795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45795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45795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45795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45795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45795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45795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45795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45795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45795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45795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45795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45795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45795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45795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45795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45795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45795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45795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45795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45795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45795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45795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45795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45795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45795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45795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45795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45795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45795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45795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45795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45795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45795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45795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45795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45795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45795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45795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45795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45795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45795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45795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45795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45795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45795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45795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45795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45795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45795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45795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45795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45795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45795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45795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45795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45795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45795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45795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45795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45795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45795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45795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45795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45795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45795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45795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45795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45795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45795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45795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45795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45795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45795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45795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45795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45795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45795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45795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45795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45795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45795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45795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45795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45795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45795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45795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45795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45795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45795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45795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45795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45795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45795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45795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45795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45795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45795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45795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45795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45795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45795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45795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45795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45795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45795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45795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45795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45795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45795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45795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45795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45795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45795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45795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45795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45795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45795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45795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45795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45795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45795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45795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45795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45795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45795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45795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45795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45795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45795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45795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45795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45795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45795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45795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45795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45795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45795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45795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45795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45795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45795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45795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45795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45795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45795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45795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45795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45795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45795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45795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45795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45795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45795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45795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45795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45795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45795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45795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45795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45795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45795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45795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45795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45795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45795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45795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45795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45795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45795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45795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45795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45795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45795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45795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45795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45795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45795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45795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45795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45795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45795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45795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45795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45795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45795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45795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45795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45795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45795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45795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45795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45795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45795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45795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45795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45795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45795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45795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45795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45795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45795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45795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45795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45795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45795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45795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45795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45795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45795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45795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45795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45795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45795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45795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45795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45795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45795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45795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45795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45795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45795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45795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45795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45795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45795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45795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45795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45795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45795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45795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45795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45795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45795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45795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45795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45795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45795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45795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45795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45795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45795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45795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45795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45795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45795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45795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45795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45795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45795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45795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45795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45795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45795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45795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45795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45795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45795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45795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45795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45795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45795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45795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45795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45795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45795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45795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45795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45795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45795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45795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45795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45795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45795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45795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45795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45795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45795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45795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45795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45795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45795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45795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45795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45795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45795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45795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45795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45795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45795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45795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45795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45795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45795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45795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45795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45795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45795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45795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45795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45795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45795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45795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45795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45795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45795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45795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45795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45795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45795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45795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45795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45795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45795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45795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45795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45795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45795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45795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45795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45795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45795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45795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45795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45795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45795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45795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45795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45795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45795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45795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45795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45795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45795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45795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45795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45795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45795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45795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45795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45795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45795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45795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45795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45795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45795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45795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45795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45795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45795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45795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45795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45795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45795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45795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45795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45795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45795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45795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45795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45795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45795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45795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45795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45795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45795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45795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45795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45795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45795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45795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45795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45795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45795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45795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45795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45795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45795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45795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45795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45795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45795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45795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45795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45795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45795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45795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45795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45795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45795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45795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45795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45795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45795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45795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45795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45795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45795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45795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45795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45795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45795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45795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45795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45795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45795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45795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45795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45795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45795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45795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45795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45795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45795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45795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45795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45795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45795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45795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45795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45795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45795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45795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45795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45795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45795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45795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45795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45795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45795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45795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45795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45795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45795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45795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45795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45795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45795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45795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45795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45795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45795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45795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45795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45795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45795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45795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45795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45795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45795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45795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45795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45795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45795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45795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45795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45795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45795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45795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45795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45795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45795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45795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45795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45795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45795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45795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45795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45795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45795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45795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45795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45795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45795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45795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45795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45795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45795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45795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45795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45795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45795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45795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45795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45795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45795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45795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45795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45795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45795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45795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45795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45795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45795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45795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45795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45795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45795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45795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45795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45795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45795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45795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45795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45795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45795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45795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45795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45795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45795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45795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45795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45795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45795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45795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45795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45795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45795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45795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45795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45795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45795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45795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45795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45795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45795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45795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45795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45795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45795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45795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45795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45795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45795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45795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45795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45795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45795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45795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45795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45795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45795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45795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45795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45795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45795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45795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45795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45795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45795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45795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45795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45795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45795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45795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45795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45795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45795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45795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45795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45795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45795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45795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45795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45795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45795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45795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45795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45795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45795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45795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45795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45795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45795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45795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45795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45795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45795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45795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45795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45795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45795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45795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45795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45795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45795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45795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45795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45795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45795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45795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45795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45795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45795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45795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45795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45795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45795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45795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45795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45795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45795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45795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45795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45795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45795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45795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45795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45795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45795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45795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45795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45795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45795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45795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45795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45795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45795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45795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45795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45795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45795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45795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45795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45795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45795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45795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45795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45795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45795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45795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45795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45795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45795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45795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45795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45795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45795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45795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45795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45795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45795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45795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45795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45795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45795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45795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45795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45795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45795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45795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45795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45795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45795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45795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45795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45795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45795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45795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45795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45795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45795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45795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45795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45795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45795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45795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45795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45795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45795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45795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45795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45795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45795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45795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45795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45795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45795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45795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45795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45795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45795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45795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45795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45795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45795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45795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45795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45795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45795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45795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45795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45795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45795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45795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45795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45795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45795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45795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45795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45795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45795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45795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45795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45795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45795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45795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45795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45795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45795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45795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45795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45795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45795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45795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45795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45795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45795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45795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45795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45795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45795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45795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45795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45795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45795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45795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45795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45795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45795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45795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45795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45795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45795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45795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45795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45795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45795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45795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45795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45795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45795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45795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45795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45795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45795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45795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45795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45795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45795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45795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45795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45795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45795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45795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45795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45795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45795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45795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45795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45795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45795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45795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45795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45795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45795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45795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45795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45795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45795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45795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45795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45795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45795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45795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45795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45795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45795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45795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45795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45795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45795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45795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45795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45795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45795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45795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45795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45795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45795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45795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45795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45795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45795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45795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45795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45795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45795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45795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45795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45795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45795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45795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45795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45795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45795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45795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45795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45795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45795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45795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45795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45795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45795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45795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45795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45795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45795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45795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45795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45795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45795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45795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45795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45795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45795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45795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45795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45795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45795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45795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45795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45795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45795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45795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45795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45795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45795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45795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45795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45795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45795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45795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45795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45795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45795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45795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45795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45795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45795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45795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45795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45795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45795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45795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45795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45795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45795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45795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45795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45795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45795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45795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45795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45795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45795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45795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45795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45795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45795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45795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45795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45795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45795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45795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45795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45795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45795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45795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45795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45795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45795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45795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45795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45795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45795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45795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45795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45795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45795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45795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45795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45795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45795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45795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45795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45795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45795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45795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45795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45795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45795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45795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45795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45795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45795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45795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45795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45795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45795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45795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45795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45795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45795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45795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45795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45795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45795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45795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45795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45795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45795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45795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45795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45795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45795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45795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45795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45795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45795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45795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45795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45795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45795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45795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45795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45795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45795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45795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45795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45795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45795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45795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45795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45795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45795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45795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45795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45795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45795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45795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45795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45795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45795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45795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45795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45795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45795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45795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45795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45795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45795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45795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45795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45795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45795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45795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45795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45795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45795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45795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45795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45795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45795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45795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45795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45795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45795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45795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45795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45795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45795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45795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45795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45795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45795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45795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45795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45795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45795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45795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45795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45795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45795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45795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45795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45795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45795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45795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45795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45795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45795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45795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45795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45795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45795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45795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45795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45795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45795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45795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45795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45795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45795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45795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45795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45795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45795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45795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45795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45795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45795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45795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45795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45795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45795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45795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45795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45795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45795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45795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45795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45795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45795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45795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45795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45795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45795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45795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45795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45795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45795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45795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45795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45795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45795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45795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45795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45795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45795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45795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45795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45795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45795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45795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45795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45795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45795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45795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45795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45795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45795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45795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45795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45795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45795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45795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45795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45795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45795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45795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45795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45795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45795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45795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45795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45795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45795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45795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45795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45795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45795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45795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45795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45795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45795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45795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45795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45795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45795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45795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45795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21642-2025</t>
        </is>
      </c>
      <c r="B1613" s="1" t="n">
        <v>45783</v>
      </c>
      <c r="C1613" s="1" t="n">
        <v>45795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22676-2025</t>
        </is>
      </c>
      <c r="B1614" s="1" t="n">
        <v>45789</v>
      </c>
      <c r="C1614" s="1" t="n">
        <v>45795</v>
      </c>
      <c r="D1614" t="inlineStr">
        <is>
          <t>KALMAR LÄN</t>
        </is>
      </c>
      <c r="E1614" t="inlineStr">
        <is>
          <t>HULTSFRED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22933-2025</t>
        </is>
      </c>
      <c r="B1615" s="1" t="n">
        <v>45790</v>
      </c>
      <c r="C1615" s="1" t="n">
        <v>45795</v>
      </c>
      <c r="D1615" t="inlineStr">
        <is>
          <t>KALMAR LÄN</t>
        </is>
      </c>
      <c r="E1615" t="inlineStr">
        <is>
          <t>HULTSFRED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  <c r="U1615">
        <f>HYPERLINK("https://klasma.github.io/Logging_080860/knärot/A 22933-2025 karta knärot.png", "A 22933-2025")</f>
        <v/>
      </c>
      <c r="V1615">
        <f>HYPERLINK("https://klasma.github.io/Logging_080860/klagomål/A 22933-2025 FSC-klagomål.docx", "A 22933-2025")</f>
        <v/>
      </c>
      <c r="W1615">
        <f>HYPERLINK("https://klasma.github.io/Logging_080860/klagomålsmail/A 22933-2025 FSC-klagomål mail.docx", "A 22933-2025")</f>
        <v/>
      </c>
      <c r="X1615">
        <f>HYPERLINK("https://klasma.github.io/Logging_080860/tillsyn/A 22933-2025 tillsynsbegäran.docx", "A 22933-2025")</f>
        <v/>
      </c>
      <c r="Y1615">
        <f>HYPERLINK("https://klasma.github.io/Logging_080860/tillsynsmail/A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2025-05-18T17:25:37Z</dcterms:created>
  <dcterms:modified xmlns:dcterms="http://purl.org/dc/terms/" xmlns:xsi="http://www.w3.org/2001/XMLSchema-instance" xsi:type="dcterms:W3CDTF">2025-05-18T17:25:39Z</dcterms:modified>
</cp:coreProperties>
</file>