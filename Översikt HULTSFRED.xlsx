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45574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45574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45574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45574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45574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45574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45574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45574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45574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45574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45574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45574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45574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45574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45574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45574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45574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45574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45574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45574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45574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45574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45574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45574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45574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45574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45574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45574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45574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45574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45574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45574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45574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45574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45574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45574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45574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45574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45574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45574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45574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45574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45574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45574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45574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45574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45574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45574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45574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45574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45574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45574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45574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45574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45574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45574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45574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45574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45574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45574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45574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45574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45574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45574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45574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45574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45574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45574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45574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45574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45574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45574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45574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45574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45574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45574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45574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45574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45574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45574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45574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42773-2024</t>
        </is>
      </c>
      <c r="B100" s="1" t="n">
        <v>45566</v>
      </c>
      <c r="C100" s="1" t="n">
        <v>45574</v>
      </c>
      <c r="D100" t="inlineStr">
        <is>
          <t>KALMAR LÄN</t>
        </is>
      </c>
      <c r="E100" t="inlineStr">
        <is>
          <t>HULTSFRED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Lungrot</t>
        </is>
      </c>
      <c r="S100">
        <f>HYPERLINK("https://klasma.github.io/Logging_0860/artfynd/A 42773-2024 artfynd.xlsx", "A 42773-2024")</f>
        <v/>
      </c>
      <c r="T100">
        <f>HYPERLINK("https://klasma.github.io/Logging_0860/kartor/A 42773-2024 karta.png", "A 42773-2024")</f>
        <v/>
      </c>
      <c r="V100">
        <f>HYPERLINK("https://klasma.github.io/Logging_0860/klagomål/A 42773-2024 FSC-klagomål.docx", "A 42773-2024")</f>
        <v/>
      </c>
      <c r="W100">
        <f>HYPERLINK("https://klasma.github.io/Logging_0860/klagomålsmail/A 42773-2024 FSC-klagomål mail.docx", "A 42773-2024")</f>
        <v/>
      </c>
      <c r="X100">
        <f>HYPERLINK("https://klasma.github.io/Logging_0860/tillsyn/A 42773-2024 tillsynsbegäran.docx", "A 42773-2024")</f>
        <v/>
      </c>
      <c r="Y100">
        <f>HYPERLINK("https://klasma.github.io/Logging_0860/tillsynsmail/A 42773-2024 tillsynsbegäran mail.docx", "A 42773-2024")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45574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45574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45574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45574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45574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45574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45574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45574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45574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45574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45574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45574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45574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45574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45574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45574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45574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45574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45574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45574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45574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45574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45574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45574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45574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45574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45574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45574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45574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45574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45574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45574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45574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45574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45574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45574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45574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45574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45574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45574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45574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45574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45574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45574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45574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45574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45574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45574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45574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45574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45574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45574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45574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45574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45574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45574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45574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45574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45574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45574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45574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45574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45574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45574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45574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45574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45574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45574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45574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45574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45574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45574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45574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45574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45574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45574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45574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45574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45574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45574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45574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45574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45574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45574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45574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45574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45574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45574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45574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45574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45574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45574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45574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45574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45574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45574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45574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45574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45574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45574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45574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45574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45574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45574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45574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45574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45574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45574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45574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45574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45574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45574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45574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45574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45574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45574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45574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45574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45574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45574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45574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45574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45574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45574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45574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45574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45574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45574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45574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45574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45574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45574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45574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45574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45574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45574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45574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45574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45574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45574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45574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45574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45574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45574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45574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45574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45574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45574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45574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45574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45574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45574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45574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45574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45574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45574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45574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45574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45574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45574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45574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45574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45574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45574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45574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45574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45574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45574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45574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45574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45574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45574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45574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45574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45574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45574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45574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45574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45574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45574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45574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45574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45574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45574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45574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45574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45574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45574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45574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45574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45574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45574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45574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45574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45574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45574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45574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45574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45574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45574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45574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45574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45574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45574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45574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45574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45574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45574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45574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45574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45574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45574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45574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45574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45574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45574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45574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45574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45574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45574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45574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45574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45574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45574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45574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45574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45574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45574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45574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45574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45574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45574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45574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45574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45574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45574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45574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45574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45574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45574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45574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45574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45574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45574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45574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45574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45574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45574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45574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45574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45574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45574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45574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45574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45574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45574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45574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45574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45574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45574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45574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45574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45574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45574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45574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45574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45574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45574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45574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45574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45574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45574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45574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45574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45574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45574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45574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45574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45574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45574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45574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45574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45574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45574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45574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45574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45574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45574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45574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45574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45574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45574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45574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45574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45574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45574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45574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45574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45574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45574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45574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45574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45574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45574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45574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45574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45574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45574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45574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45574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45574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45574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45574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45574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45574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45574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45574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45574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45574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45574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45574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45574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45574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45574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45574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45574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45574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45574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45574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45574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45574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45574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45574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45574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45574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45574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45574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45574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45574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45574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45574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45574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45574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45574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45574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45574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45574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45574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45574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45574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45574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45574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45574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45574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45574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45574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45574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45574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45574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45574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45574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45574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45574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45574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45574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45574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45574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45574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45574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45574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45574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45574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45574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45574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45574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45574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45574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45574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45574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45574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45574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45574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45574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45574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45574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45574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45574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45574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45574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45574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45574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45574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45574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45574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45574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45574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45574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45574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45574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45574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45574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45574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45574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45574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45574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45574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45574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45574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45574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45574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45574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45574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45574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45574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45574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45574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45574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45574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45574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45574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45574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45574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45574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45574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45574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45574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45574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45574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45574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45574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45574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45574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45574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45574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45574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45574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45574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45574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45574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45574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45574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45574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45574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45574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45574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45574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45574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45574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45574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45574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45574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45574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45574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45574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45574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45574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45574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45574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45574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45574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45574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45574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45574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45574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45574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45574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45574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45574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45574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45574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45574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45574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45574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45574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45574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45574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45574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45574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45574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45574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45574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45574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45574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45574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45574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45574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45574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45574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45574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45574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45574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45574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45574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45574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45574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45574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45574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45574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45574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45574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45574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45574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45574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45574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45574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45574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45574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45574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45574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45574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45574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45574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45574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45574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45574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45574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45574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45574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45574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45574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45574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45574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45574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45574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45574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45574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45574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45574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45574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45574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45574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45574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45574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45574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45574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45574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45574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45574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45574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45574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45574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45574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45574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45574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45574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45574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45574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45574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45574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45574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45574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45574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45574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45574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45574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45574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45574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45574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45574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45574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45574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45574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45574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45574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45574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45574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45574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45574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45574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45574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45574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45574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45574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45574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45574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45574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45574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45574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45574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45574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45574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45574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45574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45574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45574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45574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45574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45574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45574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45574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45574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45574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45574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45574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45574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45574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45574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45574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45574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45574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45574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45574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45574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45574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45574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45574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45574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45574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45574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45574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45574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45574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45574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45574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45574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45574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45574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45574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45574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45574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45574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45574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45574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45574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45574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45574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45574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45574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45574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45574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45574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45574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45574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45574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45574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45574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45574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45574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45574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45574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45574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45574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45574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45574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45574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45574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45574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45574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45574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45574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45574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45574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45574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45574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45574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45574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45574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45574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45574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45574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45574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45574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45574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45574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45574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45574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45574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45574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45574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45574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45574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45574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45574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45574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45574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45574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45574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45574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45574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45574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45574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45574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45574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45574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45574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45574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45574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45574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45574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45574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45574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45574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45574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45574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45574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45574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45574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45574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45574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45574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45574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45574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45574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45574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45574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45574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45574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45574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45574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45574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45574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45574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45574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45574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45574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45574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45574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45574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45574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45574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45574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45574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45574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45574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45574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45574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45574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45574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45574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45574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45574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45574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45574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45574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45574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45574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45574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45574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45574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45574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45574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45574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45574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45574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45574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45574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45574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45574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45574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45574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45574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45574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45574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45574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45574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45574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45574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45574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45574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45574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45574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45574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45574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45574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45574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45574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45574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45574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45574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45574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45574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45574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45574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45574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45574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45574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45574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45574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45574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45574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45574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45574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45574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45574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45574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45574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45574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45574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45574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45574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45574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45574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45574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45574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45574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45574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45574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45574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45574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45574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45574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45574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45574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45574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45574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45574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45574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45574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45574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45574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45574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45574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45574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45574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45574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45574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45574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45574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45574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45574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45574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45574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45574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45574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45574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45574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45574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45574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45574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45574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45574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45574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45574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45574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45574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45574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45574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45574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45574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45574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45574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45574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45574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45574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45574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45574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45574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45574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45574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45574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45574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45574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45574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45574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45574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45574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45574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45574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45574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45574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45574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45574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45574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45574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45574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45574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45574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45574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45574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45574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45574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45574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45574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45574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45574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45574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45574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45574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45574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45574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45574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45574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45574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45574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45574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45574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45574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45574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45574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45574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45574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45574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45574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45574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45574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45574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45574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45574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45574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45574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45574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45574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45574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45574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45574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45574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45574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45574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45574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45574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45574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45574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45574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45574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45574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45574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45574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45574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45574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45574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45574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45574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45574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45574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45574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45574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45574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45574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45574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45574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45574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45574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45574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45574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45574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45574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45574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45574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45574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45574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45574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45574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45574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45574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45574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45574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45574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45574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45574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45574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45574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45574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45574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45574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45574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45574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45574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45574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45574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45574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45574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45574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45574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45574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45574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45574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45574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45574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45574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45574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45574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45574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45574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45574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45574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45574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45574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45574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45574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45574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45574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45574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45574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45574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45574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45574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45574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45574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45574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45574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45574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45574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45574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45574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45574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45574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45574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45574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45574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45574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45574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45574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45574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45574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45574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45574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45574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45574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45574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45574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45574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45574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45574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45574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45574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45574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45574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45574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45574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45574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45574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45574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45574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45574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45574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45574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45574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45574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45574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45574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45574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45574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45574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45574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45574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45574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45574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45574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45574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45574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45574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45574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45574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45574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45574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45574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45574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45574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45574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45574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45574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45574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45574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45574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45574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45574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45574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45574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45574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45574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45574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45574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45574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45574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45574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45574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45574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45574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45574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45574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45574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45574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45574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45574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45574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45574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45574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45574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45574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45574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45574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45574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45574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45574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45574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45574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45574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45574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45574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45574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45574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45574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45574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45574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45574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45574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45574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45574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45574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45574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45574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45574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45574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45574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45574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45574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45574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45574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45574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45574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45574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45574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45574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45574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45574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45574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45574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45574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45574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45574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45574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45574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45574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45574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45574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45574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45574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45574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45574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45574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45574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45574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45574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45574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45574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45574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45574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45574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45574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45574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45574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45574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45574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45574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45574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45574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45574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45574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45574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45574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45574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45574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45574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45574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45574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45574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45574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45574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45574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45574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45574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45574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45574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45574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45574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45574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45574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45574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45574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45574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45574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45574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37988-2024</t>
        </is>
      </c>
      <c r="B1312" s="1" t="n">
        <v>45544</v>
      </c>
      <c r="C1312" s="1" t="n">
        <v>45574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37882-2024</t>
        </is>
      </c>
      <c r="B1313" s="1" t="n">
        <v>45544</v>
      </c>
      <c r="C1313" s="1" t="n">
        <v>45574</v>
      </c>
      <c r="D1313" t="inlineStr">
        <is>
          <t>KALMAR LÄN</t>
        </is>
      </c>
      <c r="E1313" t="inlineStr">
        <is>
          <t>HULTSFRED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37987-2024</t>
        </is>
      </c>
      <c r="B1314" s="1" t="n">
        <v>45544</v>
      </c>
      <c r="C1314" s="1" t="n">
        <v>45574</v>
      </c>
      <c r="D1314" t="inlineStr">
        <is>
          <t>KALMAR LÄN</t>
        </is>
      </c>
      <c r="E1314" t="inlineStr">
        <is>
          <t>HULTSFRED</t>
        </is>
      </c>
      <c r="F1314" t="inlineStr">
        <is>
          <t>Kommuner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38413-2024</t>
        </is>
      </c>
      <c r="B1315" s="1" t="n">
        <v>45546</v>
      </c>
      <c r="C1315" s="1" t="n">
        <v>45574</v>
      </c>
      <c r="D1315" t="inlineStr">
        <is>
          <t>KALMAR LÄN</t>
        </is>
      </c>
      <c r="E1315" t="inlineStr">
        <is>
          <t>HULTSFRED</t>
        </is>
      </c>
      <c r="G1315" t="n">
        <v>18.6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45574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38599-2024</t>
        </is>
      </c>
      <c r="B1317" s="1" t="n">
        <v>45546</v>
      </c>
      <c r="C1317" s="1" t="n">
        <v>45574</v>
      </c>
      <c r="D1317" t="inlineStr">
        <is>
          <t>KALMAR LÄN</t>
        </is>
      </c>
      <c r="E1317" t="inlineStr">
        <is>
          <t>HULTSFRED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38414-2024</t>
        </is>
      </c>
      <c r="B1318" s="1" t="n">
        <v>45546</v>
      </c>
      <c r="C1318" s="1" t="n">
        <v>45574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38683-2024</t>
        </is>
      </c>
      <c r="B1319" s="1" t="n">
        <v>45547</v>
      </c>
      <c r="C1319" s="1" t="n">
        <v>45574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38705-2024</t>
        </is>
      </c>
      <c r="B1320" s="1" t="n">
        <v>45547</v>
      </c>
      <c r="C1320" s="1" t="n">
        <v>45574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38668-2024</t>
        </is>
      </c>
      <c r="B1321" s="1" t="n">
        <v>45547</v>
      </c>
      <c r="C1321" s="1" t="n">
        <v>45574</v>
      </c>
      <c r="D1321" t="inlineStr">
        <is>
          <t>KALMAR LÄN</t>
        </is>
      </c>
      <c r="E1321" t="inlineStr">
        <is>
          <t>HULTSFRED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38796-2024</t>
        </is>
      </c>
      <c r="B1322" s="1" t="n">
        <v>45547</v>
      </c>
      <c r="C1322" s="1" t="n">
        <v>45574</v>
      </c>
      <c r="D1322" t="inlineStr">
        <is>
          <t>KALMAR LÄN</t>
        </is>
      </c>
      <c r="E1322" t="inlineStr">
        <is>
          <t>HULTSFRED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38693-2024</t>
        </is>
      </c>
      <c r="B1323" s="1" t="n">
        <v>45547</v>
      </c>
      <c r="C1323" s="1" t="n">
        <v>45574</v>
      </c>
      <c r="D1323" t="inlineStr">
        <is>
          <t>KALMAR LÄN</t>
        </is>
      </c>
      <c r="E1323" t="inlineStr">
        <is>
          <t>HULTSFRED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38789-2024</t>
        </is>
      </c>
      <c r="B1324" s="1" t="n">
        <v>45547</v>
      </c>
      <c r="C1324" s="1" t="n">
        <v>45574</v>
      </c>
      <c r="D1324" t="inlineStr">
        <is>
          <t>KALMAR LÄN</t>
        </is>
      </c>
      <c r="E1324" t="inlineStr">
        <is>
          <t>HULTSFRED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45574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45574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45574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45574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45574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45574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45574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42407-2024</t>
        </is>
      </c>
      <c r="B1332" s="1" t="n">
        <v>45565</v>
      </c>
      <c r="C1332" s="1" t="n">
        <v>45574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42415-2024</t>
        </is>
      </c>
      <c r="B1333" s="1" t="n">
        <v>45565</v>
      </c>
      <c r="C1333" s="1" t="n">
        <v>45574</v>
      </c>
      <c r="D1333" t="inlineStr">
        <is>
          <t>KALMAR LÄN</t>
        </is>
      </c>
      <c r="E1333" t="inlineStr">
        <is>
          <t>HULTSFRED</t>
        </is>
      </c>
      <c r="F1333" t="inlineStr">
        <is>
          <t>Kyrkan</t>
        </is>
      </c>
      <c r="G1333" t="n">
        <v>11.3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42501-2024</t>
        </is>
      </c>
      <c r="B1334" s="1" t="n">
        <v>45565</v>
      </c>
      <c r="C1334" s="1" t="n">
        <v>45574</v>
      </c>
      <c r="D1334" t="inlineStr">
        <is>
          <t>KALMAR LÄN</t>
        </is>
      </c>
      <c r="E1334" t="inlineStr">
        <is>
          <t>HULTSFRED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42743-2024</t>
        </is>
      </c>
      <c r="B1335" s="1" t="n">
        <v>45566</v>
      </c>
      <c r="C1335" s="1" t="n">
        <v>45574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42747-2024</t>
        </is>
      </c>
      <c r="B1336" s="1" t="n">
        <v>45566</v>
      </c>
      <c r="C1336" s="1" t="n">
        <v>45574</v>
      </c>
      <c r="D1336" t="inlineStr">
        <is>
          <t>KALMAR LÄN</t>
        </is>
      </c>
      <c r="E1336" t="inlineStr">
        <is>
          <t>HULTSFRED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42762-2024</t>
        </is>
      </c>
      <c r="B1337" s="1" t="n">
        <v>45566</v>
      </c>
      <c r="C1337" s="1" t="n">
        <v>45574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42770-2024</t>
        </is>
      </c>
      <c r="B1338" s="1" t="n">
        <v>45566</v>
      </c>
      <c r="C1338" s="1" t="n">
        <v>45574</v>
      </c>
      <c r="D1338" t="inlineStr">
        <is>
          <t>KALMAR LÄN</t>
        </is>
      </c>
      <c r="E1338" t="inlineStr">
        <is>
          <t>HULTSFRED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42750-2024</t>
        </is>
      </c>
      <c r="B1339" s="1" t="n">
        <v>45566</v>
      </c>
      <c r="C1339" s="1" t="n">
        <v>45574</v>
      </c>
      <c r="D1339" t="inlineStr">
        <is>
          <t>KALMAR LÄN</t>
        </is>
      </c>
      <c r="E1339" t="inlineStr">
        <is>
          <t>HULTSFRED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42776-2024</t>
        </is>
      </c>
      <c r="B1340" s="1" t="n">
        <v>45566</v>
      </c>
      <c r="C1340" s="1" t="n">
        <v>45574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45574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42767-2024</t>
        </is>
      </c>
      <c r="B1342" s="1" t="n">
        <v>45566</v>
      </c>
      <c r="C1342" s="1" t="n">
        <v>45574</v>
      </c>
      <c r="D1342" t="inlineStr">
        <is>
          <t>KALMAR LÄN</t>
        </is>
      </c>
      <c r="E1342" t="inlineStr">
        <is>
          <t>HULTSFRED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45574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45574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45574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45574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43663-2024</t>
        </is>
      </c>
      <c r="B1347" s="1" t="n">
        <v>45569</v>
      </c>
      <c r="C1347" s="1" t="n">
        <v>45574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43950-2024</t>
        </is>
      </c>
      <c r="B1348" s="1" t="n">
        <v>45572</v>
      </c>
      <c r="C1348" s="1" t="n">
        <v>45574</v>
      </c>
      <c r="D1348" t="inlineStr">
        <is>
          <t>KALMAR LÄN</t>
        </is>
      </c>
      <c r="E1348" t="inlineStr">
        <is>
          <t>HULTSFRED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44188-2024</t>
        </is>
      </c>
      <c r="B1349" s="1" t="n">
        <v>45573</v>
      </c>
      <c r="C1349" s="1" t="n">
        <v>45574</v>
      </c>
      <c r="D1349" t="inlineStr">
        <is>
          <t>KALMAR LÄN</t>
        </is>
      </c>
      <c r="E1349" t="inlineStr">
        <is>
          <t>HULTSFRED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44256-2024</t>
        </is>
      </c>
      <c r="B1350" s="1" t="n">
        <v>45573</v>
      </c>
      <c r="C1350" s="1" t="n">
        <v>45574</v>
      </c>
      <c r="D1350" t="inlineStr">
        <is>
          <t>KALMAR LÄN</t>
        </is>
      </c>
      <c r="E1350" t="inlineStr">
        <is>
          <t>HULTSFRED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44269-2024</t>
        </is>
      </c>
      <c r="B1351" s="1" t="n">
        <v>45573</v>
      </c>
      <c r="C1351" s="1" t="n">
        <v>45574</v>
      </c>
      <c r="D1351" t="inlineStr">
        <is>
          <t>KALMAR LÄN</t>
        </is>
      </c>
      <c r="E1351" t="inlineStr">
        <is>
          <t>HULTSFRED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44257-2024</t>
        </is>
      </c>
      <c r="B1352" s="1" t="n">
        <v>45573</v>
      </c>
      <c r="C1352" s="1" t="n">
        <v>45574</v>
      </c>
      <c r="D1352" t="inlineStr">
        <is>
          <t>KALMAR LÄN</t>
        </is>
      </c>
      <c r="E1352" t="inlineStr">
        <is>
          <t>HULTSFRED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2024-10-09T12:42:00Z</dcterms:created>
  <dcterms:modified xmlns:dcterms="http://purl.org/dc/terms/" xmlns:xsi="http://www.w3.org/2001/XMLSchema-instance" xsi:type="dcterms:W3CDTF">2024-10-09T12:42:01Z</dcterms:modified>
</cp:coreProperties>
</file>