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45740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45740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45740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45740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45740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45740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45740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45740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45740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45740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37640-2024</t>
        </is>
      </c>
      <c r="B12" s="1" t="n">
        <v>45541</v>
      </c>
      <c r="C12" s="1" t="n">
        <v>45740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4.6</v>
      </c>
      <c r="H12" t="n">
        <v>5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Spillkråka
Tallticka
Talltita
Ärtsångare
Grönpyrola
Blåsippa</t>
        </is>
      </c>
      <c r="S12">
        <f>HYPERLINK("https://klasma.github.io/Logging_0860/artfynd/A 37640-2024 artfynd.xlsx", "A 37640-2024")</f>
        <v/>
      </c>
      <c r="T12">
        <f>HYPERLINK("https://klasma.github.io/Logging_0860/kartor/A 37640-2024 karta.png", "A 37640-2024")</f>
        <v/>
      </c>
      <c r="U12">
        <f>HYPERLINK("https://klasma.github.io/Logging_0860/knärot/A 37640-2024 karta knärot.png", "A 37640-2024")</f>
        <v/>
      </c>
      <c r="V12">
        <f>HYPERLINK("https://klasma.github.io/Logging_0860/klagomål/A 37640-2024 FSC-klagomål.docx", "A 37640-2024")</f>
        <v/>
      </c>
      <c r="W12">
        <f>HYPERLINK("https://klasma.github.io/Logging_0860/klagomålsmail/A 37640-2024 FSC-klagomål mail.docx", "A 37640-2024")</f>
        <v/>
      </c>
      <c r="X12">
        <f>HYPERLINK("https://klasma.github.io/Logging_0860/tillsyn/A 37640-2024 tillsynsbegäran.docx", "A 37640-2024")</f>
        <v/>
      </c>
      <c r="Y12">
        <f>HYPERLINK("https://klasma.github.io/Logging_0860/tillsynsmail/A 37640-2024 tillsynsbegäran mail.docx", "A 37640-2024")</f>
        <v/>
      </c>
      <c r="Z12">
        <f>HYPERLINK("https://klasma.github.io/Logging_0860/fåglar/A 37640-2024 prioriterade fågelarter.docx", "A 37640-2024")</f>
        <v/>
      </c>
    </row>
    <row r="13" ht="15" customHeight="1">
      <c r="A13" t="inlineStr">
        <is>
          <t>A 17061-2020</t>
        </is>
      </c>
      <c r="B13" s="1" t="n">
        <v>43921</v>
      </c>
      <c r="C13" s="1" t="n">
        <v>45740</v>
      </c>
      <c r="D13" t="inlineStr">
        <is>
          <t>KALMAR LÄN</t>
        </is>
      </c>
      <c r="E13" t="inlineStr">
        <is>
          <t>HULTSFRED</t>
        </is>
      </c>
      <c r="G13" t="n">
        <v>10.7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Blåmossa
Grönpyrola
Tibast
Trådticka
Blåsippa</t>
        </is>
      </c>
      <c r="S13">
        <f>HYPERLINK("https://klasma.github.io/Logging_0860/artfynd/A 17061-2020 artfynd.xlsx", "A 17061-2020")</f>
        <v/>
      </c>
      <c r="T13">
        <f>HYPERLINK("https://klasma.github.io/Logging_0860/kartor/A 17061-2020 karta.png", "A 17061-2020")</f>
        <v/>
      </c>
      <c r="U13">
        <f>HYPERLINK("https://klasma.github.io/Logging_0860/knärot/A 17061-2020 karta knärot.png", "A 17061-2020")</f>
        <v/>
      </c>
      <c r="V13">
        <f>HYPERLINK("https://klasma.github.io/Logging_0860/klagomål/A 17061-2020 FSC-klagomål.docx", "A 17061-2020")</f>
        <v/>
      </c>
      <c r="W13">
        <f>HYPERLINK("https://klasma.github.io/Logging_0860/klagomålsmail/A 17061-2020 FSC-klagomål mail.docx", "A 17061-2020")</f>
        <v/>
      </c>
      <c r="X13">
        <f>HYPERLINK("https://klasma.github.io/Logging_0860/tillsyn/A 17061-2020 tillsynsbegäran.docx", "A 17061-2020")</f>
        <v/>
      </c>
      <c r="Y13">
        <f>HYPERLINK("https://klasma.github.io/Logging_0860/tillsynsmail/A 17061-2020 tillsynsbegäran mail.docx", "A 17061-2020")</f>
        <v/>
      </c>
    </row>
    <row r="14" ht="15" customHeight="1">
      <c r="A14" t="inlineStr">
        <is>
          <t>A 40640-2020</t>
        </is>
      </c>
      <c r="B14" s="1" t="n">
        <v>44069</v>
      </c>
      <c r="C14" s="1" t="n">
        <v>45740</v>
      </c>
      <c r="D14" t="inlineStr">
        <is>
          <t>KALMAR LÄN</t>
        </is>
      </c>
      <c r="E14" t="inlineStr">
        <is>
          <t>HULTSFRED</t>
        </is>
      </c>
      <c r="G14" t="n">
        <v>0.8</v>
      </c>
      <c r="H14" t="n">
        <v>6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Entita
Gulsparv
Spillkråka
Svartvit flugsnappare
Talltita
Ärtsångare</t>
        </is>
      </c>
      <c r="S14">
        <f>HYPERLINK("https://klasma.github.io/Logging_0860/artfynd/A 40640-2020 artfynd.xlsx", "A 40640-2020")</f>
        <v/>
      </c>
      <c r="T14">
        <f>HYPERLINK("https://klasma.github.io/Logging_0860/kartor/A 40640-2020 karta.png", "A 40640-2020")</f>
        <v/>
      </c>
      <c r="V14">
        <f>HYPERLINK("https://klasma.github.io/Logging_0860/klagomål/A 40640-2020 FSC-klagomål.docx", "A 40640-2020")</f>
        <v/>
      </c>
      <c r="W14">
        <f>HYPERLINK("https://klasma.github.io/Logging_0860/klagomålsmail/A 40640-2020 FSC-klagomål mail.docx", "A 40640-2020")</f>
        <v/>
      </c>
      <c r="X14">
        <f>HYPERLINK("https://klasma.github.io/Logging_0860/tillsyn/A 40640-2020 tillsynsbegäran.docx", "A 40640-2020")</f>
        <v/>
      </c>
      <c r="Y14">
        <f>HYPERLINK("https://klasma.github.io/Logging_0860/tillsynsmail/A 40640-2020 tillsynsbegäran mail.docx", "A 40640-2020")</f>
        <v/>
      </c>
      <c r="Z14">
        <f>HYPERLINK("https://klasma.github.io/Logging_0860/fåglar/A 40640-2020 prioriterade fågelarter.docx", "A 40640-2020")</f>
        <v/>
      </c>
    </row>
    <row r="15" ht="15" customHeight="1">
      <c r="A15" t="inlineStr">
        <is>
          <t>A 37626-2024</t>
        </is>
      </c>
      <c r="B15" s="1" t="n">
        <v>45541</v>
      </c>
      <c r="C15" s="1" t="n">
        <v>45740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5.7</v>
      </c>
      <c r="H15" t="n">
        <v>4</v>
      </c>
      <c r="I15" t="n">
        <v>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Ryl
Knärot
Spillkråka
Talltita
Dropptaggsvamp
Blåsippa</t>
        </is>
      </c>
      <c r="S15">
        <f>HYPERLINK("https://klasma.github.io/Logging_0860/artfynd/A 37626-2024 artfynd.xlsx", "A 37626-2024")</f>
        <v/>
      </c>
      <c r="T15">
        <f>HYPERLINK("https://klasma.github.io/Logging_0860/kartor/A 37626-2024 karta.png", "A 37626-2024")</f>
        <v/>
      </c>
      <c r="U15">
        <f>HYPERLINK("https://klasma.github.io/Logging_0860/knärot/A 37626-2024 karta knärot.png", "A 37626-2024")</f>
        <v/>
      </c>
      <c r="V15">
        <f>HYPERLINK("https://klasma.github.io/Logging_0860/klagomål/A 37626-2024 FSC-klagomål.docx", "A 37626-2024")</f>
        <v/>
      </c>
      <c r="W15">
        <f>HYPERLINK("https://klasma.github.io/Logging_0860/klagomålsmail/A 37626-2024 FSC-klagomål mail.docx", "A 37626-2024")</f>
        <v/>
      </c>
      <c r="X15">
        <f>HYPERLINK("https://klasma.github.io/Logging_0860/tillsyn/A 37626-2024 tillsynsbegäran.docx", "A 37626-2024")</f>
        <v/>
      </c>
      <c r="Y15">
        <f>HYPERLINK("https://klasma.github.io/Logging_0860/tillsynsmail/A 37626-2024 tillsynsbegäran mail.docx", "A 37626-2024")</f>
        <v/>
      </c>
      <c r="Z15">
        <f>HYPERLINK("https://klasma.github.io/Logging_0860/fåglar/A 37626-2024 prioriterade fågelarter.docx", "A 37626-2024")</f>
        <v/>
      </c>
    </row>
    <row r="16" ht="15" customHeight="1">
      <c r="A16" t="inlineStr">
        <is>
          <t>A 2085-2020</t>
        </is>
      </c>
      <c r="B16" s="1" t="n">
        <v>43845</v>
      </c>
      <c r="C16" s="1" t="n">
        <v>45740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3.7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Vedtrappmossa
Flagellkvastmossa
Grön sköldmossa
Blåsippa</t>
        </is>
      </c>
      <c r="S16">
        <f>HYPERLINK("https://klasma.github.io/Logging_0860/artfynd/A 2085-2020 artfynd.xlsx", "A 2085-2020")</f>
        <v/>
      </c>
      <c r="T16">
        <f>HYPERLINK("https://klasma.github.io/Logging_0860/kartor/A 2085-2020 karta.png", "A 2085-2020")</f>
        <v/>
      </c>
      <c r="U16">
        <f>HYPERLINK("https://klasma.github.io/Logging_0860/knärot/A 2085-2020 karta knärot.png", "A 2085-2020")</f>
        <v/>
      </c>
      <c r="V16">
        <f>HYPERLINK("https://klasma.github.io/Logging_0860/klagomål/A 2085-2020 FSC-klagomål.docx", "A 2085-2020")</f>
        <v/>
      </c>
      <c r="W16">
        <f>HYPERLINK("https://klasma.github.io/Logging_0860/klagomålsmail/A 2085-2020 FSC-klagomål mail.docx", "A 2085-2020")</f>
        <v/>
      </c>
      <c r="X16">
        <f>HYPERLINK("https://klasma.github.io/Logging_0860/tillsyn/A 2085-2020 tillsynsbegäran.docx", "A 2085-2020")</f>
        <v/>
      </c>
      <c r="Y16">
        <f>HYPERLINK("https://klasma.github.io/Logging_0860/tillsynsmail/A 2085-2020 tillsynsbegäran mail.docx", "A 2085-2020")</f>
        <v/>
      </c>
    </row>
    <row r="17" ht="15" customHeight="1">
      <c r="A17" t="inlineStr">
        <is>
          <t>A 16102-2020</t>
        </is>
      </c>
      <c r="B17" s="1" t="n">
        <v>43916</v>
      </c>
      <c r="C17" s="1" t="n">
        <v>45740</v>
      </c>
      <c r="D17" t="inlineStr">
        <is>
          <t>KALMAR LÄN</t>
        </is>
      </c>
      <c r="E17" t="inlineStr">
        <is>
          <t>HULTSFRED</t>
        </is>
      </c>
      <c r="G17" t="n">
        <v>3.8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Vedtrappmossa
Blåmossa
Tibast
Blåsippa
Revlummer</t>
        </is>
      </c>
      <c r="S17">
        <f>HYPERLINK("https://klasma.github.io/Logging_0860/artfynd/A 16102-2020 artfynd.xlsx", "A 16102-2020")</f>
        <v/>
      </c>
      <c r="T17">
        <f>HYPERLINK("https://klasma.github.io/Logging_0860/kartor/A 16102-2020 karta.png", "A 16102-2020")</f>
        <v/>
      </c>
      <c r="V17">
        <f>HYPERLINK("https://klasma.github.io/Logging_0860/klagomål/A 16102-2020 FSC-klagomål.docx", "A 16102-2020")</f>
        <v/>
      </c>
      <c r="W17">
        <f>HYPERLINK("https://klasma.github.io/Logging_0860/klagomålsmail/A 16102-2020 FSC-klagomål mail.docx", "A 16102-2020")</f>
        <v/>
      </c>
      <c r="X17">
        <f>HYPERLINK("https://klasma.github.io/Logging_0860/tillsyn/A 16102-2020 tillsynsbegäran.docx", "A 16102-2020")</f>
        <v/>
      </c>
      <c r="Y17">
        <f>HYPERLINK("https://klasma.github.io/Logging_0860/tillsynsmail/A 16102-2020 tillsynsbegäran mail.docx", "A 16102-2020")</f>
        <v/>
      </c>
    </row>
    <row r="18" ht="15" customHeight="1">
      <c r="A18" t="inlineStr">
        <is>
          <t>A 26222-2020</t>
        </is>
      </c>
      <c r="B18" s="1" t="n">
        <v>43986</v>
      </c>
      <c r="C18" s="1" t="n">
        <v>45740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2.1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Spindelört
Underviol
Grönvit nattviol
Blåsippa
Revlummer</t>
        </is>
      </c>
      <c r="S18">
        <f>HYPERLINK("https://klasma.github.io/Logging_0860/artfynd/A 26222-2020 artfynd.xlsx", "A 26222-2020")</f>
        <v/>
      </c>
      <c r="T18">
        <f>HYPERLINK("https://klasma.github.io/Logging_0860/kartor/A 26222-2020 karta.png", "A 26222-2020")</f>
        <v/>
      </c>
      <c r="V18">
        <f>HYPERLINK("https://klasma.github.io/Logging_0860/klagomål/A 26222-2020 FSC-klagomål.docx", "A 26222-2020")</f>
        <v/>
      </c>
      <c r="W18">
        <f>HYPERLINK("https://klasma.github.io/Logging_0860/klagomålsmail/A 26222-2020 FSC-klagomål mail.docx", "A 26222-2020")</f>
        <v/>
      </c>
      <c r="X18">
        <f>HYPERLINK("https://klasma.github.io/Logging_0860/tillsyn/A 26222-2020 tillsynsbegäran.docx", "A 26222-2020")</f>
        <v/>
      </c>
      <c r="Y18">
        <f>HYPERLINK("https://klasma.github.io/Logging_0860/tillsynsmail/A 26222-2020 tillsynsbegäran mail.docx", "A 26222-2020")</f>
        <v/>
      </c>
    </row>
    <row r="19" ht="15" customHeight="1">
      <c r="A19" t="inlineStr">
        <is>
          <t>A 13124-2024</t>
        </is>
      </c>
      <c r="B19" s="1" t="n">
        <v>45385</v>
      </c>
      <c r="C19" s="1" t="n">
        <v>45740</v>
      </c>
      <c r="D19" t="inlineStr">
        <is>
          <t>KALMAR LÄN</t>
        </is>
      </c>
      <c r="E19" t="inlineStr">
        <is>
          <t>HULTSFRED</t>
        </is>
      </c>
      <c r="G19" t="n">
        <v>1.2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Grönpyrola
Korallrot
Fläcknycklar
Grönvit nattviol
Nattviol</t>
        </is>
      </c>
      <c r="S19">
        <f>HYPERLINK("https://klasma.github.io/Logging_0860/artfynd/A 13124-2024 artfynd.xlsx", "A 13124-2024")</f>
        <v/>
      </c>
      <c r="T19">
        <f>HYPERLINK("https://klasma.github.io/Logging_0860/kartor/A 13124-2024 karta.png", "A 13124-2024")</f>
        <v/>
      </c>
      <c r="V19">
        <f>HYPERLINK("https://klasma.github.io/Logging_0860/klagomål/A 13124-2024 FSC-klagomål.docx", "A 13124-2024")</f>
        <v/>
      </c>
      <c r="W19">
        <f>HYPERLINK("https://klasma.github.io/Logging_0860/klagomålsmail/A 13124-2024 FSC-klagomål mail.docx", "A 13124-2024")</f>
        <v/>
      </c>
      <c r="X19">
        <f>HYPERLINK("https://klasma.github.io/Logging_0860/tillsyn/A 13124-2024 tillsynsbegäran.docx", "A 13124-2024")</f>
        <v/>
      </c>
      <c r="Y19">
        <f>HYPERLINK("https://klasma.github.io/Logging_0860/tillsynsmail/A 13124-2024 tillsynsbegäran mail.docx", "A 13124-2024")</f>
        <v/>
      </c>
    </row>
    <row r="20" ht="15" customHeight="1">
      <c r="A20" t="inlineStr">
        <is>
          <t>A 8226-2020</t>
        </is>
      </c>
      <c r="B20" s="1" t="n">
        <v>43874</v>
      </c>
      <c r="C20" s="1" t="n">
        <v>45740</v>
      </c>
      <c r="D20" t="inlineStr">
        <is>
          <t>KALMAR LÄN</t>
        </is>
      </c>
      <c r="E20" t="inlineStr">
        <is>
          <t>HULTSFRED</t>
        </is>
      </c>
      <c r="F20" t="inlineStr">
        <is>
          <t>Övriga Aktiebolag</t>
        </is>
      </c>
      <c r="G20" t="n">
        <v>4.8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Vedtrappmossa
Skarp dropptaggsvamp
Blåsippa</t>
        </is>
      </c>
      <c r="S20">
        <f>HYPERLINK("https://klasma.github.io/Logging_0860/artfynd/A 8226-2020 artfynd.xlsx", "A 8226-2020")</f>
        <v/>
      </c>
      <c r="T20">
        <f>HYPERLINK("https://klasma.github.io/Logging_0860/kartor/A 8226-2020 karta.png", "A 8226-2020")</f>
        <v/>
      </c>
      <c r="U20">
        <f>HYPERLINK("https://klasma.github.io/Logging_0860/knärot/A 8226-2020 karta knärot.png", "A 8226-2020")</f>
        <v/>
      </c>
      <c r="V20">
        <f>HYPERLINK("https://klasma.github.io/Logging_0860/klagomål/A 8226-2020 FSC-klagomål.docx", "A 8226-2020")</f>
        <v/>
      </c>
      <c r="W20">
        <f>HYPERLINK("https://klasma.github.io/Logging_0860/klagomålsmail/A 8226-2020 FSC-klagomål mail.docx", "A 8226-2020")</f>
        <v/>
      </c>
      <c r="X20">
        <f>HYPERLINK("https://klasma.github.io/Logging_0860/tillsyn/A 8226-2020 tillsynsbegäran.docx", "A 8226-2020")</f>
        <v/>
      </c>
      <c r="Y20">
        <f>HYPERLINK("https://klasma.github.io/Logging_0860/tillsynsmail/A 8226-2020 tillsynsbegäran mail.docx", "A 8226-2020")</f>
        <v/>
      </c>
    </row>
    <row r="21" ht="15" customHeight="1">
      <c r="A21" t="inlineStr">
        <is>
          <t>A 38673-2020</t>
        </is>
      </c>
      <c r="B21" s="1" t="n">
        <v>44061</v>
      </c>
      <c r="C21" s="1" t="n">
        <v>45740</v>
      </c>
      <c r="D21" t="inlineStr">
        <is>
          <t>KALMAR LÄN</t>
        </is>
      </c>
      <c r="E21" t="inlineStr">
        <is>
          <t>HULTSFRED</t>
        </is>
      </c>
      <c r="F21" t="inlineStr">
        <is>
          <t>Kyrkan</t>
        </is>
      </c>
      <c r="G21" t="n">
        <v>2.7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Grov fjädermossa
Platt fjädermossa
Blåsippa</t>
        </is>
      </c>
      <c r="S21">
        <f>HYPERLINK("https://klasma.github.io/Logging_0860/artfynd/A 38673-2020 artfynd.xlsx", "A 38673-2020")</f>
        <v/>
      </c>
      <c r="T21">
        <f>HYPERLINK("https://klasma.github.io/Logging_0860/kartor/A 38673-2020 karta.png", "A 38673-2020")</f>
        <v/>
      </c>
      <c r="V21">
        <f>HYPERLINK("https://klasma.github.io/Logging_0860/klagomål/A 38673-2020 FSC-klagomål.docx", "A 38673-2020")</f>
        <v/>
      </c>
      <c r="W21">
        <f>HYPERLINK("https://klasma.github.io/Logging_0860/klagomålsmail/A 38673-2020 FSC-klagomål mail.docx", "A 38673-2020")</f>
        <v/>
      </c>
      <c r="X21">
        <f>HYPERLINK("https://klasma.github.io/Logging_0860/tillsyn/A 38673-2020 tillsynsbegäran.docx", "A 38673-2020")</f>
        <v/>
      </c>
      <c r="Y21">
        <f>HYPERLINK("https://klasma.github.io/Logging_0860/tillsynsmail/A 38673-2020 tillsynsbegäran mail.docx", "A 38673-2020")</f>
        <v/>
      </c>
    </row>
    <row r="22" ht="15" customHeight="1">
      <c r="A22" t="inlineStr">
        <is>
          <t>A 10511-2021</t>
        </is>
      </c>
      <c r="B22" s="1" t="n">
        <v>44258</v>
      </c>
      <c r="C22" s="1" t="n">
        <v>45740</v>
      </c>
      <c r="D22" t="inlineStr">
        <is>
          <t>KALMAR LÄN</t>
        </is>
      </c>
      <c r="E22" t="inlineStr">
        <is>
          <t>HULTSFRED</t>
        </is>
      </c>
      <c r="G22" t="n">
        <v>4.7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Talltita
Grovticka
Blåsippa</t>
        </is>
      </c>
      <c r="S22">
        <f>HYPERLINK("https://klasma.github.io/Logging_0860/artfynd/A 10511-2021 artfynd.xlsx", "A 10511-2021")</f>
        <v/>
      </c>
      <c r="T22">
        <f>HYPERLINK("https://klasma.github.io/Logging_0860/kartor/A 10511-2021 karta.png", "A 10511-2021")</f>
        <v/>
      </c>
      <c r="U22">
        <f>HYPERLINK("https://klasma.github.io/Logging_0860/knärot/A 10511-2021 karta knärot.png", "A 10511-2021")</f>
        <v/>
      </c>
      <c r="V22">
        <f>HYPERLINK("https://klasma.github.io/Logging_0860/klagomål/A 10511-2021 FSC-klagomål.docx", "A 10511-2021")</f>
        <v/>
      </c>
      <c r="W22">
        <f>HYPERLINK("https://klasma.github.io/Logging_0860/klagomålsmail/A 10511-2021 FSC-klagomål mail.docx", "A 10511-2021")</f>
        <v/>
      </c>
      <c r="X22">
        <f>HYPERLINK("https://klasma.github.io/Logging_0860/tillsyn/A 10511-2021 tillsynsbegäran.docx", "A 10511-2021")</f>
        <v/>
      </c>
      <c r="Y22">
        <f>HYPERLINK("https://klasma.github.io/Logging_0860/tillsynsmail/A 10511-2021 tillsynsbegäran mail.docx", "A 10511-2021")</f>
        <v/>
      </c>
      <c r="Z22">
        <f>HYPERLINK("https://klasma.github.io/Logging_0860/fåglar/A 10511-2021 prioriterade fågelarter.docx", "A 10511-2021")</f>
        <v/>
      </c>
    </row>
    <row r="23" ht="15" customHeight="1">
      <c r="A23" t="inlineStr">
        <is>
          <t>A 55135-2021</t>
        </is>
      </c>
      <c r="B23" s="1" t="n">
        <v>44474</v>
      </c>
      <c r="C23" s="1" t="n">
        <v>45740</v>
      </c>
      <c r="D23" t="inlineStr">
        <is>
          <t>KALMAR LÄN</t>
        </is>
      </c>
      <c r="E23" t="inlineStr">
        <is>
          <t>HULTSFRED</t>
        </is>
      </c>
      <c r="G23" t="n">
        <v>2.2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Druvfingersvamp
Grovticka
Skarp dropptaggsvamp</t>
        </is>
      </c>
      <c r="S23">
        <f>HYPERLINK("https://klasma.github.io/Logging_0860/artfynd/A 55135-2021 artfynd.xlsx", "A 55135-2021")</f>
        <v/>
      </c>
      <c r="T23">
        <f>HYPERLINK("https://klasma.github.io/Logging_0860/kartor/A 55135-2021 karta.png", "A 55135-2021")</f>
        <v/>
      </c>
      <c r="U23">
        <f>HYPERLINK("https://klasma.github.io/Logging_0860/knärot/A 55135-2021 karta knärot.png", "A 55135-2021")</f>
        <v/>
      </c>
      <c r="V23">
        <f>HYPERLINK("https://klasma.github.io/Logging_0860/klagomål/A 55135-2021 FSC-klagomål.docx", "A 55135-2021")</f>
        <v/>
      </c>
      <c r="W23">
        <f>HYPERLINK("https://klasma.github.io/Logging_0860/klagomålsmail/A 55135-2021 FSC-klagomål mail.docx", "A 55135-2021")</f>
        <v/>
      </c>
      <c r="X23">
        <f>HYPERLINK("https://klasma.github.io/Logging_0860/tillsyn/A 55135-2021 tillsynsbegäran.docx", "A 55135-2021")</f>
        <v/>
      </c>
      <c r="Y23">
        <f>HYPERLINK("https://klasma.github.io/Logging_0860/tillsynsmail/A 55135-2021 tillsynsbegäran mail.docx", "A 55135-2021")</f>
        <v/>
      </c>
    </row>
    <row r="24" ht="15" customHeight="1">
      <c r="A24" t="inlineStr">
        <is>
          <t>A 73465-2021</t>
        </is>
      </c>
      <c r="B24" s="1" t="n">
        <v>44551</v>
      </c>
      <c r="C24" s="1" t="n">
        <v>45740</v>
      </c>
      <c r="D24" t="inlineStr">
        <is>
          <t>KALMAR LÄN</t>
        </is>
      </c>
      <c r="E24" t="inlineStr">
        <is>
          <t>HULTSFRED</t>
        </is>
      </c>
      <c r="G24" t="n">
        <v>1.4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Blåsippa
Revlummer</t>
        </is>
      </c>
      <c r="S24">
        <f>HYPERLINK("https://klasma.github.io/Logging_0860/artfynd/A 73465-2021 artfynd.xlsx", "A 73465-2021")</f>
        <v/>
      </c>
      <c r="T24">
        <f>HYPERLINK("https://klasma.github.io/Logging_0860/kartor/A 73465-2021 karta.png", "A 73465-2021")</f>
        <v/>
      </c>
      <c r="U24">
        <f>HYPERLINK("https://klasma.github.io/Logging_0860/knärot/A 73465-2021 karta knärot.png", "A 73465-2021")</f>
        <v/>
      </c>
      <c r="V24">
        <f>HYPERLINK("https://klasma.github.io/Logging_0860/klagomål/A 73465-2021 FSC-klagomål.docx", "A 73465-2021")</f>
        <v/>
      </c>
      <c r="W24">
        <f>HYPERLINK("https://klasma.github.io/Logging_0860/klagomålsmail/A 73465-2021 FSC-klagomål mail.docx", "A 73465-2021")</f>
        <v/>
      </c>
      <c r="X24">
        <f>HYPERLINK("https://klasma.github.io/Logging_0860/tillsyn/A 73465-2021 tillsynsbegäran.docx", "A 73465-2021")</f>
        <v/>
      </c>
      <c r="Y24">
        <f>HYPERLINK("https://klasma.github.io/Logging_0860/tillsynsmail/A 73465-2021 tillsynsbegäran mail.docx", "A 73465-2021")</f>
        <v/>
      </c>
    </row>
    <row r="25" ht="15" customHeight="1">
      <c r="A25" t="inlineStr">
        <is>
          <t>A 15084-2024</t>
        </is>
      </c>
      <c r="B25" s="1" t="n">
        <v>45399</v>
      </c>
      <c r="C25" s="1" t="n">
        <v>45740</v>
      </c>
      <c r="D25" t="inlineStr">
        <is>
          <t>KALMAR LÄN</t>
        </is>
      </c>
      <c r="E25" t="inlineStr">
        <is>
          <t>HULTSFRED</t>
        </is>
      </c>
      <c r="G25" t="n">
        <v>3.1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Rostfläck
Skogsduva
Blåsippa
Gullviva</t>
        </is>
      </c>
      <c r="S25">
        <f>HYPERLINK("https://klasma.github.io/Logging_0860/artfynd/A 15084-2024 artfynd.xlsx", "A 15084-2024")</f>
        <v/>
      </c>
      <c r="T25">
        <f>HYPERLINK("https://klasma.github.io/Logging_0860/kartor/A 15084-2024 karta.png", "A 15084-2024")</f>
        <v/>
      </c>
      <c r="V25">
        <f>HYPERLINK("https://klasma.github.io/Logging_0860/klagomål/A 15084-2024 FSC-klagomål.docx", "A 15084-2024")</f>
        <v/>
      </c>
      <c r="W25">
        <f>HYPERLINK("https://klasma.github.io/Logging_0860/klagomålsmail/A 15084-2024 FSC-klagomål mail.docx", "A 15084-2024")</f>
        <v/>
      </c>
      <c r="X25">
        <f>HYPERLINK("https://klasma.github.io/Logging_0860/tillsyn/A 15084-2024 tillsynsbegäran.docx", "A 15084-2024")</f>
        <v/>
      </c>
      <c r="Y25">
        <f>HYPERLINK("https://klasma.github.io/Logging_0860/tillsynsmail/A 15084-2024 tillsynsbegäran mail.docx", "A 15084-2024")</f>
        <v/>
      </c>
      <c r="Z25">
        <f>HYPERLINK("https://klasma.github.io/Logging_0860/fåglar/A 15084-2024 prioriterade fågelarter.docx", "A 15084-2024")</f>
        <v/>
      </c>
    </row>
    <row r="26" ht="15" customHeight="1">
      <c r="A26" t="inlineStr">
        <is>
          <t>A 45167-2024</t>
        </is>
      </c>
      <c r="B26" s="1" t="n">
        <v>45575</v>
      </c>
      <c r="C26" s="1" t="n">
        <v>45740</v>
      </c>
      <c r="D26" t="inlineStr">
        <is>
          <t>KALMAR LÄN</t>
        </is>
      </c>
      <c r="E26" t="inlineStr">
        <is>
          <t>HULTSFRED</t>
        </is>
      </c>
      <c r="G26" t="n">
        <v>0.8</v>
      </c>
      <c r="H26" t="n">
        <v>0</v>
      </c>
      <c r="I26" t="n">
        <v>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Karelsk maskros
Persiljespindling
Tallticka
Dvärgkällmossa</t>
        </is>
      </c>
      <c r="S26">
        <f>HYPERLINK("https://klasma.github.io/Logging_0860/artfynd/A 45167-2024 artfynd.xlsx", "A 45167-2024")</f>
        <v/>
      </c>
      <c r="T26">
        <f>HYPERLINK("https://klasma.github.io/Logging_0860/kartor/A 45167-2024 karta.png", "A 45167-2024")</f>
        <v/>
      </c>
      <c r="V26">
        <f>HYPERLINK("https://klasma.github.io/Logging_0860/klagomål/A 45167-2024 FSC-klagomål.docx", "A 45167-2024")</f>
        <v/>
      </c>
      <c r="W26">
        <f>HYPERLINK("https://klasma.github.io/Logging_0860/klagomålsmail/A 45167-2024 FSC-klagomål mail.docx", "A 45167-2024")</f>
        <v/>
      </c>
      <c r="X26">
        <f>HYPERLINK("https://klasma.github.io/Logging_0860/tillsyn/A 45167-2024 tillsynsbegäran.docx", "A 45167-2024")</f>
        <v/>
      </c>
      <c r="Y26">
        <f>HYPERLINK("https://klasma.github.io/Logging_0860/tillsynsmail/A 45167-2024 tillsynsbegäran mail.docx", "A 45167-2024")</f>
        <v/>
      </c>
    </row>
    <row r="27" ht="15" customHeight="1">
      <c r="A27" t="inlineStr">
        <is>
          <t>A 4574-2021</t>
        </is>
      </c>
      <c r="B27" s="1" t="n">
        <v>44224</v>
      </c>
      <c r="C27" s="1" t="n">
        <v>45740</v>
      </c>
      <c r="D27" t="inlineStr">
        <is>
          <t>KALMAR LÄN</t>
        </is>
      </c>
      <c r="E27" t="inlineStr">
        <is>
          <t>HULTSFRED</t>
        </is>
      </c>
      <c r="G27" t="n">
        <v>7.2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Grönvit nattviol
Mattlummer</t>
        </is>
      </c>
      <c r="S27">
        <f>HYPERLINK("https://klasma.github.io/Logging_0860/artfynd/A 4574-2021 artfynd.xlsx", "A 4574-2021")</f>
        <v/>
      </c>
      <c r="T27">
        <f>HYPERLINK("https://klasma.github.io/Logging_0860/kartor/A 4574-2021 karta.png", "A 4574-2021")</f>
        <v/>
      </c>
      <c r="V27">
        <f>HYPERLINK("https://klasma.github.io/Logging_0860/klagomål/A 4574-2021 FSC-klagomål.docx", "A 4574-2021")</f>
        <v/>
      </c>
      <c r="W27">
        <f>HYPERLINK("https://klasma.github.io/Logging_0860/klagomålsmail/A 4574-2021 FSC-klagomål mail.docx", "A 4574-2021")</f>
        <v/>
      </c>
      <c r="X27">
        <f>HYPERLINK("https://klasma.github.io/Logging_0860/tillsyn/A 4574-2021 tillsynsbegäran.docx", "A 4574-2021")</f>
        <v/>
      </c>
      <c r="Y27">
        <f>HYPERLINK("https://klasma.github.io/Logging_0860/tillsynsmail/A 4574-2021 tillsynsbegäran mail.docx", "A 4574-2021")</f>
        <v/>
      </c>
    </row>
    <row r="28" ht="15" customHeight="1">
      <c r="A28" t="inlineStr">
        <is>
          <t>A 12711-2022</t>
        </is>
      </c>
      <c r="B28" s="1" t="n">
        <v>44641</v>
      </c>
      <c r="C28" s="1" t="n">
        <v>45740</v>
      </c>
      <c r="D28" t="inlineStr">
        <is>
          <t>KALMAR LÄN</t>
        </is>
      </c>
      <c r="E28" t="inlineStr">
        <is>
          <t>HULTSFRED</t>
        </is>
      </c>
      <c r="F28" t="inlineStr">
        <is>
          <t>Kommuner</t>
        </is>
      </c>
      <c r="G28" t="n">
        <v>0.4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Kungsfiskare
Tibast
Gullviva</t>
        </is>
      </c>
      <c r="S28">
        <f>HYPERLINK("https://klasma.github.io/Logging_0860/artfynd/A 12711-2022 artfynd.xlsx", "A 12711-2022")</f>
        <v/>
      </c>
      <c r="T28">
        <f>HYPERLINK("https://klasma.github.io/Logging_0860/kartor/A 12711-2022 karta.png", "A 12711-2022")</f>
        <v/>
      </c>
      <c r="V28">
        <f>HYPERLINK("https://klasma.github.io/Logging_0860/klagomål/A 12711-2022 FSC-klagomål.docx", "A 12711-2022")</f>
        <v/>
      </c>
      <c r="W28">
        <f>HYPERLINK("https://klasma.github.io/Logging_0860/klagomålsmail/A 12711-2022 FSC-klagomål mail.docx", "A 12711-2022")</f>
        <v/>
      </c>
      <c r="X28">
        <f>HYPERLINK("https://klasma.github.io/Logging_0860/tillsyn/A 12711-2022 tillsynsbegäran.docx", "A 12711-2022")</f>
        <v/>
      </c>
      <c r="Y28">
        <f>HYPERLINK("https://klasma.github.io/Logging_0860/tillsynsmail/A 12711-2022 tillsynsbegäran mail.docx", "A 12711-2022")</f>
        <v/>
      </c>
    </row>
    <row r="29" ht="15" customHeight="1">
      <c r="A29" t="inlineStr">
        <is>
          <t>A 37603-2022</t>
        </is>
      </c>
      <c r="B29" s="1" t="n">
        <v>44809</v>
      </c>
      <c r="C29" s="1" t="n">
        <v>45740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Västlig hakmossa
Blåsippa
Revlummer</t>
        </is>
      </c>
      <c r="S29">
        <f>HYPERLINK("https://klasma.github.io/Logging_0860/artfynd/A 37603-2022 artfynd.xlsx", "A 37603-2022")</f>
        <v/>
      </c>
      <c r="T29">
        <f>HYPERLINK("https://klasma.github.io/Logging_0860/kartor/A 37603-2022 karta.png", "A 37603-2022")</f>
        <v/>
      </c>
      <c r="V29">
        <f>HYPERLINK("https://klasma.github.io/Logging_0860/klagomål/A 37603-2022 FSC-klagomål.docx", "A 37603-2022")</f>
        <v/>
      </c>
      <c r="W29">
        <f>HYPERLINK("https://klasma.github.io/Logging_0860/klagomålsmail/A 37603-2022 FSC-klagomål mail.docx", "A 37603-2022")</f>
        <v/>
      </c>
      <c r="X29">
        <f>HYPERLINK("https://klasma.github.io/Logging_0860/tillsyn/A 37603-2022 tillsynsbegäran.docx", "A 37603-2022")</f>
        <v/>
      </c>
      <c r="Y29">
        <f>HYPERLINK("https://klasma.github.io/Logging_0860/tillsynsmail/A 37603-2022 tillsynsbegäran mail.docx", "A 37603-2022")</f>
        <v/>
      </c>
    </row>
    <row r="30" ht="15" customHeight="1">
      <c r="A30" t="inlineStr">
        <is>
          <t>A 40302-2022</t>
        </is>
      </c>
      <c r="B30" s="1" t="n">
        <v>44822</v>
      </c>
      <c r="C30" s="1" t="n">
        <v>45740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Dvärgpipistrell</t>
        </is>
      </c>
      <c r="S30">
        <f>HYPERLINK("https://klasma.github.io/Logging_0860/artfynd/A 40302-2022 artfynd.xlsx", "A 40302-2022")</f>
        <v/>
      </c>
      <c r="T30">
        <f>HYPERLINK("https://klasma.github.io/Logging_0860/kartor/A 40302-2022 karta.png", "A 40302-2022")</f>
        <v/>
      </c>
      <c r="V30">
        <f>HYPERLINK("https://klasma.github.io/Logging_0860/klagomål/A 40302-2022 FSC-klagomål.docx", "A 40302-2022")</f>
        <v/>
      </c>
      <c r="W30">
        <f>HYPERLINK("https://klasma.github.io/Logging_0860/klagomålsmail/A 40302-2022 FSC-klagomål mail.docx", "A 40302-2022")</f>
        <v/>
      </c>
      <c r="X30">
        <f>HYPERLINK("https://klasma.github.io/Logging_0860/tillsyn/A 40302-2022 tillsynsbegäran.docx", "A 40302-2022")</f>
        <v/>
      </c>
      <c r="Y30">
        <f>HYPERLINK("https://klasma.github.io/Logging_0860/tillsynsmail/A 40302-2022 tillsynsbegäran mail.docx", "A 40302-2022")</f>
        <v/>
      </c>
    </row>
    <row r="31" ht="15" customHeight="1">
      <c r="A31" t="inlineStr">
        <is>
          <t>A 16469-2023</t>
        </is>
      </c>
      <c r="B31" s="1" t="n">
        <v>45026</v>
      </c>
      <c r="C31" s="1" t="n">
        <v>45740</v>
      </c>
      <c r="D31" t="inlineStr">
        <is>
          <t>KALMAR LÄN</t>
        </is>
      </c>
      <c r="E31" t="inlineStr">
        <is>
          <t>HULTSFRED</t>
        </is>
      </c>
      <c r="G31" t="n">
        <v>18.5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Gullklöver
Smalsprötad bastardsvärmare
Svartvit taggsvamp</t>
        </is>
      </c>
      <c r="S31">
        <f>HYPERLINK("https://klasma.github.io/Logging_0860/artfynd/A 16469-2023 artfynd.xlsx", "A 16469-2023")</f>
        <v/>
      </c>
      <c r="T31">
        <f>HYPERLINK("https://klasma.github.io/Logging_0860/kartor/A 16469-2023 karta.png", "A 16469-2023")</f>
        <v/>
      </c>
      <c r="V31">
        <f>HYPERLINK("https://klasma.github.io/Logging_0860/klagomål/A 16469-2023 FSC-klagomål.docx", "A 16469-2023")</f>
        <v/>
      </c>
      <c r="W31">
        <f>HYPERLINK("https://klasma.github.io/Logging_0860/klagomålsmail/A 16469-2023 FSC-klagomål mail.docx", "A 16469-2023")</f>
        <v/>
      </c>
      <c r="X31">
        <f>HYPERLINK("https://klasma.github.io/Logging_0860/tillsyn/A 16469-2023 tillsynsbegäran.docx", "A 16469-2023")</f>
        <v/>
      </c>
      <c r="Y31">
        <f>HYPERLINK("https://klasma.github.io/Logging_0860/tillsynsmail/A 16469-2023 tillsynsbegäran mail.docx", "A 16469-2023")</f>
        <v/>
      </c>
    </row>
    <row r="32" ht="15" customHeight="1">
      <c r="A32" t="inlineStr">
        <is>
          <t>A 10673-2024</t>
        </is>
      </c>
      <c r="B32" s="1" t="n">
        <v>45369</v>
      </c>
      <c r="C32" s="1" t="n">
        <v>45740</v>
      </c>
      <c r="D32" t="inlineStr">
        <is>
          <t>KALMAR LÄN</t>
        </is>
      </c>
      <c r="E32" t="inlineStr">
        <is>
          <t>HULTSFRED</t>
        </is>
      </c>
      <c r="G32" t="n">
        <v>2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Spillkråka
Blåsippa</t>
        </is>
      </c>
      <c r="S32">
        <f>HYPERLINK("https://klasma.github.io/Logging_0860/artfynd/A 10673-2024 artfynd.xlsx", "A 10673-2024")</f>
        <v/>
      </c>
      <c r="T32">
        <f>HYPERLINK("https://klasma.github.io/Logging_0860/kartor/A 10673-2024 karta.png", "A 10673-2024")</f>
        <v/>
      </c>
      <c r="U32">
        <f>HYPERLINK("https://klasma.github.io/Logging_0860/knärot/A 10673-2024 karta knärot.png", "A 10673-2024")</f>
        <v/>
      </c>
      <c r="V32">
        <f>HYPERLINK("https://klasma.github.io/Logging_0860/klagomål/A 10673-2024 FSC-klagomål.docx", "A 10673-2024")</f>
        <v/>
      </c>
      <c r="W32">
        <f>HYPERLINK("https://klasma.github.io/Logging_0860/klagomålsmail/A 10673-2024 FSC-klagomål mail.docx", "A 10673-2024")</f>
        <v/>
      </c>
      <c r="X32">
        <f>HYPERLINK("https://klasma.github.io/Logging_0860/tillsyn/A 10673-2024 tillsynsbegäran.docx", "A 10673-2024")</f>
        <v/>
      </c>
      <c r="Y32">
        <f>HYPERLINK("https://klasma.github.io/Logging_0860/tillsynsmail/A 10673-2024 tillsynsbegäran mail.docx", "A 10673-2024")</f>
        <v/>
      </c>
      <c r="Z32">
        <f>HYPERLINK("https://klasma.github.io/Logging_0860/fåglar/A 10673-2024 prioriterade fågelarter.docx", "A 10673-2024")</f>
        <v/>
      </c>
    </row>
    <row r="33" ht="15" customHeight="1">
      <c r="A33" t="inlineStr">
        <is>
          <t>A 15170-2024</t>
        </is>
      </c>
      <c r="B33" s="1" t="n">
        <v>45400</v>
      </c>
      <c r="C33" s="1" t="n">
        <v>45740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Rostfläck
Vårärt
Blåsippa</t>
        </is>
      </c>
      <c r="S33">
        <f>HYPERLINK("https://klasma.github.io/Logging_0860/artfynd/A 15170-2024 artfynd.xlsx", "A 15170-2024")</f>
        <v/>
      </c>
      <c r="T33">
        <f>HYPERLINK("https://klasma.github.io/Logging_0860/kartor/A 15170-2024 karta.png", "A 15170-2024")</f>
        <v/>
      </c>
      <c r="U33">
        <f>HYPERLINK("https://klasma.github.io/Logging_0860/knärot/A 15170-2024 karta knärot.png", "A 15170-2024")</f>
        <v/>
      </c>
      <c r="V33">
        <f>HYPERLINK("https://klasma.github.io/Logging_0860/klagomål/A 15170-2024 FSC-klagomål.docx", "A 15170-2024")</f>
        <v/>
      </c>
      <c r="W33">
        <f>HYPERLINK("https://klasma.github.io/Logging_0860/klagomålsmail/A 15170-2024 FSC-klagomål mail.docx", "A 15170-2024")</f>
        <v/>
      </c>
      <c r="X33">
        <f>HYPERLINK("https://klasma.github.io/Logging_0860/tillsyn/A 15170-2024 tillsynsbegäran.docx", "A 15170-2024")</f>
        <v/>
      </c>
      <c r="Y33">
        <f>HYPERLINK("https://klasma.github.io/Logging_0860/tillsynsmail/A 15170-2024 tillsynsbegäran mail.docx", "A 15170-2024")</f>
        <v/>
      </c>
    </row>
    <row r="34" ht="15" customHeight="1">
      <c r="A34" t="inlineStr">
        <is>
          <t>A 37778-2019</t>
        </is>
      </c>
      <c r="B34" s="1" t="n">
        <v>43682</v>
      </c>
      <c r="C34" s="1" t="n">
        <v>45740</v>
      </c>
      <c r="D34" t="inlineStr">
        <is>
          <t>KALMAR LÄN</t>
        </is>
      </c>
      <c r="E34" t="inlineStr">
        <is>
          <t>HULTSFRED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Nattviol</t>
        </is>
      </c>
      <c r="S34">
        <f>HYPERLINK("https://klasma.github.io/Logging_0860/artfynd/A 37778-2019 artfynd.xlsx", "A 37778-2019")</f>
        <v/>
      </c>
      <c r="T34">
        <f>HYPERLINK("https://klasma.github.io/Logging_0860/kartor/A 37778-2019 karta.png", "A 37778-2019")</f>
        <v/>
      </c>
      <c r="V34">
        <f>HYPERLINK("https://klasma.github.io/Logging_0860/klagomål/A 37778-2019 FSC-klagomål.docx", "A 37778-2019")</f>
        <v/>
      </c>
      <c r="W34">
        <f>HYPERLINK("https://klasma.github.io/Logging_0860/klagomålsmail/A 37778-2019 FSC-klagomål mail.docx", "A 37778-2019")</f>
        <v/>
      </c>
      <c r="X34">
        <f>HYPERLINK("https://klasma.github.io/Logging_0860/tillsyn/A 37778-2019 tillsynsbegäran.docx", "A 37778-2019")</f>
        <v/>
      </c>
      <c r="Y34">
        <f>HYPERLINK("https://klasma.github.io/Logging_0860/tillsynsmail/A 37778-2019 tillsynsbegäran mail.docx", "A 37778-2019")</f>
        <v/>
      </c>
    </row>
    <row r="35" ht="15" customHeight="1">
      <c r="A35" t="inlineStr">
        <is>
          <t>A 38434-2020</t>
        </is>
      </c>
      <c r="B35" s="1" t="n">
        <v>44060</v>
      </c>
      <c r="C35" s="1" t="n">
        <v>45740</v>
      </c>
      <c r="D35" t="inlineStr">
        <is>
          <t>KALMAR LÄN</t>
        </is>
      </c>
      <c r="E35" t="inlineStr">
        <is>
          <t>HULTSFRED</t>
        </is>
      </c>
      <c r="G35" t="n">
        <v>2.3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Blåsippa</t>
        </is>
      </c>
      <c r="S35">
        <f>HYPERLINK("https://klasma.github.io/Logging_0860/artfynd/A 38434-2020 artfynd.xlsx", "A 38434-2020")</f>
        <v/>
      </c>
      <c r="T35">
        <f>HYPERLINK("https://klasma.github.io/Logging_0860/kartor/A 38434-2020 karta.png", "A 38434-2020")</f>
        <v/>
      </c>
      <c r="V35">
        <f>HYPERLINK("https://klasma.github.io/Logging_0860/klagomål/A 38434-2020 FSC-klagomål.docx", "A 38434-2020")</f>
        <v/>
      </c>
      <c r="W35">
        <f>HYPERLINK("https://klasma.github.io/Logging_0860/klagomålsmail/A 38434-2020 FSC-klagomål mail.docx", "A 38434-2020")</f>
        <v/>
      </c>
      <c r="X35">
        <f>HYPERLINK("https://klasma.github.io/Logging_0860/tillsyn/A 38434-2020 tillsynsbegäran.docx", "A 38434-2020")</f>
        <v/>
      </c>
      <c r="Y35">
        <f>HYPERLINK("https://klasma.github.io/Logging_0860/tillsynsmail/A 38434-2020 tillsynsbegäran mail.docx", "A 38434-2020")</f>
        <v/>
      </c>
    </row>
    <row r="36" ht="15" customHeight="1">
      <c r="A36" t="inlineStr">
        <is>
          <t>A 43921-2020</t>
        </is>
      </c>
      <c r="B36" s="1" t="n">
        <v>44083</v>
      </c>
      <c r="C36" s="1" t="n">
        <v>45740</v>
      </c>
      <c r="D36" t="inlineStr">
        <is>
          <t>KALMAR LÄN</t>
        </is>
      </c>
      <c r="E36" t="inlineStr">
        <is>
          <t>HULTSFRED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Blåsippa</t>
        </is>
      </c>
      <c r="S36">
        <f>HYPERLINK("https://klasma.github.io/Logging_0860/artfynd/A 43921-2020 artfynd.xlsx", "A 43921-2020")</f>
        <v/>
      </c>
      <c r="T36">
        <f>HYPERLINK("https://klasma.github.io/Logging_0860/kartor/A 43921-2020 karta.png", "A 43921-2020")</f>
        <v/>
      </c>
      <c r="V36">
        <f>HYPERLINK("https://klasma.github.io/Logging_0860/klagomål/A 43921-2020 FSC-klagomål.docx", "A 43921-2020")</f>
        <v/>
      </c>
      <c r="W36">
        <f>HYPERLINK("https://klasma.github.io/Logging_0860/klagomålsmail/A 43921-2020 FSC-klagomål mail.docx", "A 43921-2020")</f>
        <v/>
      </c>
      <c r="X36">
        <f>HYPERLINK("https://klasma.github.io/Logging_0860/tillsyn/A 43921-2020 tillsynsbegäran.docx", "A 43921-2020")</f>
        <v/>
      </c>
      <c r="Y36">
        <f>HYPERLINK("https://klasma.github.io/Logging_0860/tillsynsmail/A 43921-2020 tillsynsbegäran mail.docx", "A 43921-2020")</f>
        <v/>
      </c>
    </row>
    <row r="37" ht="15" customHeight="1">
      <c r="A37" t="inlineStr">
        <is>
          <t>A 47493-2020</t>
        </is>
      </c>
      <c r="B37" s="1" t="n">
        <v>44098</v>
      </c>
      <c r="C37" s="1" t="n">
        <v>45740</v>
      </c>
      <c r="D37" t="inlineStr">
        <is>
          <t>KALMAR LÄN</t>
        </is>
      </c>
      <c r="E37" t="inlineStr">
        <is>
          <t>HULTSFRED</t>
        </is>
      </c>
      <c r="G37" t="n">
        <v>1.3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Plattlummer</t>
        </is>
      </c>
      <c r="S37">
        <f>HYPERLINK("https://klasma.github.io/Logging_0860/artfynd/A 47493-2020 artfynd.xlsx", "A 47493-2020")</f>
        <v/>
      </c>
      <c r="T37">
        <f>HYPERLINK("https://klasma.github.io/Logging_0860/kartor/A 47493-2020 karta.png", "A 47493-2020")</f>
        <v/>
      </c>
      <c r="U37">
        <f>HYPERLINK("https://klasma.github.io/Logging_0860/knärot/A 47493-2020 karta knärot.png", "A 47493-2020")</f>
        <v/>
      </c>
      <c r="V37">
        <f>HYPERLINK("https://klasma.github.io/Logging_0860/klagomål/A 47493-2020 FSC-klagomål.docx", "A 47493-2020")</f>
        <v/>
      </c>
      <c r="W37">
        <f>HYPERLINK("https://klasma.github.io/Logging_0860/klagomålsmail/A 47493-2020 FSC-klagomål mail.docx", "A 47493-2020")</f>
        <v/>
      </c>
      <c r="X37">
        <f>HYPERLINK("https://klasma.github.io/Logging_0860/tillsyn/A 47493-2020 tillsynsbegäran.docx", "A 47493-2020")</f>
        <v/>
      </c>
      <c r="Y37">
        <f>HYPERLINK("https://klasma.github.io/Logging_0860/tillsynsmail/A 47493-2020 tillsynsbegäran mail.docx", "A 47493-2020")</f>
        <v/>
      </c>
    </row>
    <row r="38" ht="15" customHeight="1">
      <c r="A38" t="inlineStr">
        <is>
          <t>A 6384-2021</t>
        </is>
      </c>
      <c r="B38" s="1" t="n">
        <v>44235</v>
      </c>
      <c r="C38" s="1" t="n">
        <v>45740</v>
      </c>
      <c r="D38" t="inlineStr">
        <is>
          <t>KALMAR LÄN</t>
        </is>
      </c>
      <c r="E38" t="inlineStr">
        <is>
          <t>HULTSFRED</t>
        </is>
      </c>
      <c r="G38" t="n">
        <v>10.8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Vanlig padda</t>
        </is>
      </c>
      <c r="S38">
        <f>HYPERLINK("https://klasma.github.io/Logging_0860/artfynd/A 6384-2021 artfynd.xlsx", "A 6384-2021")</f>
        <v/>
      </c>
      <c r="T38">
        <f>HYPERLINK("https://klasma.github.io/Logging_0860/kartor/A 6384-2021 karta.png", "A 6384-2021")</f>
        <v/>
      </c>
      <c r="V38">
        <f>HYPERLINK("https://klasma.github.io/Logging_0860/klagomål/A 6384-2021 FSC-klagomål.docx", "A 6384-2021")</f>
        <v/>
      </c>
      <c r="W38">
        <f>HYPERLINK("https://klasma.github.io/Logging_0860/klagomålsmail/A 6384-2021 FSC-klagomål mail.docx", "A 6384-2021")</f>
        <v/>
      </c>
      <c r="X38">
        <f>HYPERLINK("https://klasma.github.io/Logging_0860/tillsyn/A 6384-2021 tillsynsbegäran.docx", "A 6384-2021")</f>
        <v/>
      </c>
      <c r="Y38">
        <f>HYPERLINK("https://klasma.github.io/Logging_0860/tillsynsmail/A 6384-2021 tillsynsbegäran mail.docx", "A 6384-2021")</f>
        <v/>
      </c>
      <c r="Z38">
        <f>HYPERLINK("https://klasma.github.io/Logging_0860/fåglar/A 6384-2021 prioriterade fågelarter.docx", "A 6384-2021")</f>
        <v/>
      </c>
    </row>
    <row r="39" ht="15" customHeight="1">
      <c r="A39" t="inlineStr">
        <is>
          <t>A 6396-2021</t>
        </is>
      </c>
      <c r="B39" s="1" t="n">
        <v>44235</v>
      </c>
      <c r="C39" s="1" t="n">
        <v>45740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HYPERLINK("https://klasma.github.io/Logging_0860/artfynd/A 6396-2021 artfynd.xlsx", "A 6396-2021")</f>
        <v/>
      </c>
      <c r="T39">
        <f>HYPERLINK("https://klasma.github.io/Logging_0860/kartor/A 6396-2021 karta.png", "A 6396-2021")</f>
        <v/>
      </c>
      <c r="V39">
        <f>HYPERLINK("https://klasma.github.io/Logging_0860/klagomål/A 6396-2021 FSC-klagomål.docx", "A 6396-2021")</f>
        <v/>
      </c>
      <c r="W39">
        <f>HYPERLINK("https://klasma.github.io/Logging_0860/klagomålsmail/A 6396-2021 FSC-klagomål mail.docx", "A 6396-2021")</f>
        <v/>
      </c>
      <c r="X39">
        <f>HYPERLINK("https://klasma.github.io/Logging_0860/tillsyn/A 6396-2021 tillsynsbegäran.docx", "A 6396-2021")</f>
        <v/>
      </c>
      <c r="Y39">
        <f>HYPERLINK("https://klasma.github.io/Logging_0860/tillsynsmail/A 6396-2021 tillsynsbegäran mail.docx", "A 6396-2021")</f>
        <v/>
      </c>
      <c r="Z39">
        <f>HYPERLINK("https://klasma.github.io/Logging_0860/fåglar/A 6396-2021 prioriterade fågelarter.docx", "A 6396-2021")</f>
        <v/>
      </c>
    </row>
    <row r="40" ht="15" customHeight="1">
      <c r="A40" t="inlineStr">
        <is>
          <t>A 14246-2021</t>
        </is>
      </c>
      <c r="B40" s="1" t="n">
        <v>44278</v>
      </c>
      <c r="C40" s="1" t="n">
        <v>45740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Purpurknipprot
Underviol</t>
        </is>
      </c>
      <c r="S40">
        <f>HYPERLINK("https://klasma.github.io/Logging_0860/artfynd/A 14246-2021 artfynd.xlsx", "A 14246-2021")</f>
        <v/>
      </c>
      <c r="T40">
        <f>HYPERLINK("https://klasma.github.io/Logging_0860/kartor/A 14246-2021 karta.png", "A 14246-2021")</f>
        <v/>
      </c>
      <c r="V40">
        <f>HYPERLINK("https://klasma.github.io/Logging_0860/klagomål/A 14246-2021 FSC-klagomål.docx", "A 14246-2021")</f>
        <v/>
      </c>
      <c r="W40">
        <f>HYPERLINK("https://klasma.github.io/Logging_0860/klagomålsmail/A 14246-2021 FSC-klagomål mail.docx", "A 14246-2021")</f>
        <v/>
      </c>
      <c r="X40">
        <f>HYPERLINK("https://klasma.github.io/Logging_0860/tillsyn/A 14246-2021 tillsynsbegäran.docx", "A 14246-2021")</f>
        <v/>
      </c>
      <c r="Y40">
        <f>HYPERLINK("https://klasma.github.io/Logging_0860/tillsynsmail/A 14246-2021 tillsynsbegäran mail.docx", "A 14246-2021")</f>
        <v/>
      </c>
    </row>
    <row r="41" ht="15" customHeight="1">
      <c r="A41" t="inlineStr">
        <is>
          <t>A 14626-2021</t>
        </is>
      </c>
      <c r="B41" s="1" t="n">
        <v>44280</v>
      </c>
      <c r="C41" s="1" t="n">
        <v>45740</v>
      </c>
      <c r="D41" t="inlineStr">
        <is>
          <t>KALMAR LÄN</t>
        </is>
      </c>
      <c r="E41" t="inlineStr">
        <is>
          <t>HULTSFRED</t>
        </is>
      </c>
      <c r="G41" t="n">
        <v>19.3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Skogshare
Jättesvampmal</t>
        </is>
      </c>
      <c r="S41">
        <f>HYPERLINK("https://klasma.github.io/Logging_0860/artfynd/A 14626-2021 artfynd.xlsx", "A 14626-2021")</f>
        <v/>
      </c>
      <c r="T41">
        <f>HYPERLINK("https://klasma.github.io/Logging_0860/kartor/A 14626-2021 karta.png", "A 14626-2021")</f>
        <v/>
      </c>
      <c r="V41">
        <f>HYPERLINK("https://klasma.github.io/Logging_0860/klagomål/A 14626-2021 FSC-klagomål.docx", "A 14626-2021")</f>
        <v/>
      </c>
      <c r="W41">
        <f>HYPERLINK("https://klasma.github.io/Logging_0860/klagomålsmail/A 14626-2021 FSC-klagomål mail.docx", "A 14626-2021")</f>
        <v/>
      </c>
      <c r="X41">
        <f>HYPERLINK("https://klasma.github.io/Logging_0860/tillsyn/A 14626-2021 tillsynsbegäran.docx", "A 14626-2021")</f>
        <v/>
      </c>
      <c r="Y41">
        <f>HYPERLINK("https://klasma.github.io/Logging_0860/tillsynsmail/A 14626-2021 tillsynsbegäran mail.docx", "A 14626-2021")</f>
        <v/>
      </c>
    </row>
    <row r="42" ht="15" customHeight="1">
      <c r="A42" t="inlineStr">
        <is>
          <t>A 53295-2021</t>
        </is>
      </c>
      <c r="B42" s="1" t="n">
        <v>44468</v>
      </c>
      <c r="C42" s="1" t="n">
        <v>45740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Blåsippa</t>
        </is>
      </c>
      <c r="S42">
        <f>HYPERLINK("https://klasma.github.io/Logging_0860/artfynd/A 53295-2021 artfynd.xlsx", "A 53295-2021")</f>
        <v/>
      </c>
      <c r="T42">
        <f>HYPERLINK("https://klasma.github.io/Logging_0860/kartor/A 53295-2021 karta.png", "A 53295-2021")</f>
        <v/>
      </c>
      <c r="V42">
        <f>HYPERLINK("https://klasma.github.io/Logging_0860/klagomål/A 53295-2021 FSC-klagomål.docx", "A 53295-2021")</f>
        <v/>
      </c>
      <c r="W42">
        <f>HYPERLINK("https://klasma.github.io/Logging_0860/klagomålsmail/A 53295-2021 FSC-klagomål mail.docx", "A 53295-2021")</f>
        <v/>
      </c>
      <c r="X42">
        <f>HYPERLINK("https://klasma.github.io/Logging_0860/tillsyn/A 53295-2021 tillsynsbegäran.docx", "A 53295-2021")</f>
        <v/>
      </c>
      <c r="Y42">
        <f>HYPERLINK("https://klasma.github.io/Logging_0860/tillsynsmail/A 53295-2021 tillsynsbegäran mail.docx", "A 53295-2021")</f>
        <v/>
      </c>
    </row>
    <row r="43" ht="15" customHeight="1">
      <c r="A43" t="inlineStr">
        <is>
          <t>A 74390-2021</t>
        </is>
      </c>
      <c r="B43" s="1" t="n">
        <v>44559</v>
      </c>
      <c r="C43" s="1" t="n">
        <v>45740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Dvärgkällmossa
Källmossa</t>
        </is>
      </c>
      <c r="S43">
        <f>HYPERLINK("https://klasma.github.io/Logging_0860/artfynd/A 74390-2021 artfynd.xlsx", "A 74390-2021")</f>
        <v/>
      </c>
      <c r="T43">
        <f>HYPERLINK("https://klasma.github.io/Logging_0860/kartor/A 74390-2021 karta.png", "A 74390-2021")</f>
        <v/>
      </c>
      <c r="V43">
        <f>HYPERLINK("https://klasma.github.io/Logging_0860/klagomål/A 74390-2021 FSC-klagomål.docx", "A 74390-2021")</f>
        <v/>
      </c>
      <c r="W43">
        <f>HYPERLINK("https://klasma.github.io/Logging_0860/klagomålsmail/A 74390-2021 FSC-klagomål mail.docx", "A 74390-2021")</f>
        <v/>
      </c>
      <c r="X43">
        <f>HYPERLINK("https://klasma.github.io/Logging_0860/tillsyn/A 74390-2021 tillsynsbegäran.docx", "A 74390-2021")</f>
        <v/>
      </c>
      <c r="Y43">
        <f>HYPERLINK("https://klasma.github.io/Logging_0860/tillsynsmail/A 74390-2021 tillsynsbegäran mail.docx", "A 74390-2021")</f>
        <v/>
      </c>
    </row>
    <row r="44" ht="15" customHeight="1">
      <c r="A44" t="inlineStr">
        <is>
          <t>A 251-2022</t>
        </is>
      </c>
      <c r="B44" s="1" t="n">
        <v>44565</v>
      </c>
      <c r="C44" s="1" t="n">
        <v>45740</v>
      </c>
      <c r="D44" t="inlineStr">
        <is>
          <t>KALMAR LÄN</t>
        </is>
      </c>
      <c r="E44" t="inlineStr">
        <is>
          <t>HULTSFRED</t>
        </is>
      </c>
      <c r="G44" t="n">
        <v>10.4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Entita
Blåmossa</t>
        </is>
      </c>
      <c r="S44">
        <f>HYPERLINK("https://klasma.github.io/Logging_0860/artfynd/A 251-2022 artfynd.xlsx", "A 251-2022")</f>
        <v/>
      </c>
      <c r="T44">
        <f>HYPERLINK("https://klasma.github.io/Logging_0860/kartor/A 251-2022 karta.png", "A 251-2022")</f>
        <v/>
      </c>
      <c r="V44">
        <f>HYPERLINK("https://klasma.github.io/Logging_0860/klagomål/A 251-2022 FSC-klagomål.docx", "A 251-2022")</f>
        <v/>
      </c>
      <c r="W44">
        <f>HYPERLINK("https://klasma.github.io/Logging_0860/klagomålsmail/A 251-2022 FSC-klagomål mail.docx", "A 251-2022")</f>
        <v/>
      </c>
      <c r="X44">
        <f>HYPERLINK("https://klasma.github.io/Logging_0860/tillsyn/A 251-2022 tillsynsbegäran.docx", "A 251-2022")</f>
        <v/>
      </c>
      <c r="Y44">
        <f>HYPERLINK("https://klasma.github.io/Logging_0860/tillsynsmail/A 251-2022 tillsynsbegäran mail.docx", "A 251-2022")</f>
        <v/>
      </c>
      <c r="Z44">
        <f>HYPERLINK("https://klasma.github.io/Logging_0860/fåglar/A 251-2022 prioriterade fågelarter.docx", "A 251-2022")</f>
        <v/>
      </c>
    </row>
    <row r="45" ht="15" customHeight="1">
      <c r="A45" t="inlineStr">
        <is>
          <t>A 61429-2022</t>
        </is>
      </c>
      <c r="B45" s="1" t="n">
        <v>44909</v>
      </c>
      <c r="C45" s="1" t="n">
        <v>45740</v>
      </c>
      <c r="D45" t="inlineStr">
        <is>
          <t>KALMAR LÄN</t>
        </is>
      </c>
      <c r="E45" t="inlineStr">
        <is>
          <t>HULTSFRED</t>
        </is>
      </c>
      <c r="F45" t="inlineStr">
        <is>
          <t>Övriga Aktiebolag</t>
        </is>
      </c>
      <c r="G45" t="n">
        <v>24.9</v>
      </c>
      <c r="H45" t="n">
        <v>1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Ryl
Mellanlummer</t>
        </is>
      </c>
      <c r="S45">
        <f>HYPERLINK("https://klasma.github.io/Logging_0860/artfynd/A 61429-2022 artfynd.xlsx", "A 61429-2022")</f>
        <v/>
      </c>
      <c r="T45">
        <f>HYPERLINK("https://klasma.github.io/Logging_0860/kartor/A 61429-2022 karta.png", "A 61429-2022")</f>
        <v/>
      </c>
      <c r="V45">
        <f>HYPERLINK("https://klasma.github.io/Logging_0860/klagomål/A 61429-2022 FSC-klagomål.docx", "A 61429-2022")</f>
        <v/>
      </c>
      <c r="W45">
        <f>HYPERLINK("https://klasma.github.io/Logging_0860/klagomålsmail/A 61429-2022 FSC-klagomål mail.docx", "A 61429-2022")</f>
        <v/>
      </c>
      <c r="X45">
        <f>HYPERLINK("https://klasma.github.io/Logging_0860/tillsyn/A 61429-2022 tillsynsbegäran.docx", "A 61429-2022")</f>
        <v/>
      </c>
      <c r="Y45">
        <f>HYPERLINK("https://klasma.github.io/Logging_0860/tillsynsmail/A 61429-2022 tillsynsbegäran mail.docx", "A 61429-2022")</f>
        <v/>
      </c>
    </row>
    <row r="46" ht="15" customHeight="1">
      <c r="A46" t="inlineStr">
        <is>
          <t>A 61709-2022</t>
        </is>
      </c>
      <c r="B46" s="1" t="n">
        <v>44917</v>
      </c>
      <c r="C46" s="1" t="n">
        <v>45740</v>
      </c>
      <c r="D46" t="inlineStr">
        <is>
          <t>KALMAR LÄN</t>
        </is>
      </c>
      <c r="E46" t="inlineStr">
        <is>
          <t>HULTSFRED</t>
        </is>
      </c>
      <c r="G46" t="n">
        <v>3.7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HYPERLINK("https://klasma.github.io/Logging_0860/artfynd/A 61709-2022 artfynd.xlsx", "A 61709-2022")</f>
        <v/>
      </c>
      <c r="T46">
        <f>HYPERLINK("https://klasma.github.io/Logging_0860/kartor/A 61709-2022 karta.png", "A 61709-2022")</f>
        <v/>
      </c>
      <c r="U46">
        <f>HYPERLINK("https://klasma.github.io/Logging_0860/knärot/A 61709-2022 karta knärot.png", "A 61709-2022")</f>
        <v/>
      </c>
      <c r="V46">
        <f>HYPERLINK("https://klasma.github.io/Logging_0860/klagomål/A 61709-2022 FSC-klagomål.docx", "A 61709-2022")</f>
        <v/>
      </c>
      <c r="W46">
        <f>HYPERLINK("https://klasma.github.io/Logging_0860/klagomålsmail/A 61709-2022 FSC-klagomål mail.docx", "A 61709-2022")</f>
        <v/>
      </c>
      <c r="X46">
        <f>HYPERLINK("https://klasma.github.io/Logging_0860/tillsyn/A 61709-2022 tillsynsbegäran.docx", "A 61709-2022")</f>
        <v/>
      </c>
      <c r="Y46">
        <f>HYPERLINK("https://klasma.github.io/Logging_0860/tillsynsmail/A 61709-2022 tillsynsbegäran mail.docx", "A 61709-2022")</f>
        <v/>
      </c>
    </row>
    <row r="47" ht="15" customHeight="1">
      <c r="A47" t="inlineStr">
        <is>
          <t>A 31046-2023</t>
        </is>
      </c>
      <c r="B47" s="1" t="n">
        <v>45113</v>
      </c>
      <c r="C47" s="1" t="n">
        <v>45740</v>
      </c>
      <c r="D47" t="inlineStr">
        <is>
          <t>KALMAR LÄN</t>
        </is>
      </c>
      <c r="E47" t="inlineStr">
        <is>
          <t>HULTSFRED</t>
        </is>
      </c>
      <c r="G47" t="n">
        <v>1.5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Backsippa
Mörk dunört</t>
        </is>
      </c>
      <c r="S47">
        <f>HYPERLINK("https://klasma.github.io/Logging_0860/artfynd/A 31046-2023 artfynd.xlsx", "A 31046-2023")</f>
        <v/>
      </c>
      <c r="T47">
        <f>HYPERLINK("https://klasma.github.io/Logging_0860/kartor/A 31046-2023 karta.png", "A 31046-2023")</f>
        <v/>
      </c>
      <c r="V47">
        <f>HYPERLINK("https://klasma.github.io/Logging_0860/klagomål/A 31046-2023 FSC-klagomål.docx", "A 31046-2023")</f>
        <v/>
      </c>
      <c r="W47">
        <f>HYPERLINK("https://klasma.github.io/Logging_0860/klagomålsmail/A 31046-2023 FSC-klagomål mail.docx", "A 31046-2023")</f>
        <v/>
      </c>
      <c r="X47">
        <f>HYPERLINK("https://klasma.github.io/Logging_0860/tillsyn/A 31046-2023 tillsynsbegäran.docx", "A 31046-2023")</f>
        <v/>
      </c>
      <c r="Y47">
        <f>HYPERLINK("https://klasma.github.io/Logging_0860/tillsynsmail/A 31046-2023 tillsynsbegäran mail.docx", "A 31046-2023")</f>
        <v/>
      </c>
    </row>
    <row r="48" ht="15" customHeight="1">
      <c r="A48" t="inlineStr">
        <is>
          <t>A 34095-2023</t>
        </is>
      </c>
      <c r="B48" s="1" t="n">
        <v>45135</v>
      </c>
      <c r="C48" s="1" t="n">
        <v>45740</v>
      </c>
      <c r="D48" t="inlineStr">
        <is>
          <t>KALMAR LÄN</t>
        </is>
      </c>
      <c r="E48" t="inlineStr">
        <is>
          <t>HULTSFRED</t>
        </is>
      </c>
      <c r="G48" t="n">
        <v>13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Dubbelnycklar</t>
        </is>
      </c>
      <c r="S48">
        <f>HYPERLINK("https://klasma.github.io/Logging_0860/artfynd/A 34095-2023 artfynd.xlsx", "A 34095-2023")</f>
        <v/>
      </c>
      <c r="T48">
        <f>HYPERLINK("https://klasma.github.io/Logging_0860/kartor/A 34095-2023 karta.png", "A 34095-2023")</f>
        <v/>
      </c>
      <c r="V48">
        <f>HYPERLINK("https://klasma.github.io/Logging_0860/klagomål/A 34095-2023 FSC-klagomål.docx", "A 34095-2023")</f>
        <v/>
      </c>
      <c r="W48">
        <f>HYPERLINK("https://klasma.github.io/Logging_0860/klagomålsmail/A 34095-2023 FSC-klagomål mail.docx", "A 34095-2023")</f>
        <v/>
      </c>
      <c r="X48">
        <f>HYPERLINK("https://klasma.github.io/Logging_0860/tillsyn/A 34095-2023 tillsynsbegäran.docx", "A 34095-2023")</f>
        <v/>
      </c>
      <c r="Y48">
        <f>HYPERLINK("https://klasma.github.io/Logging_0860/tillsynsmail/A 34095-2023 tillsynsbegäran mail.docx", "A 34095-2023")</f>
        <v/>
      </c>
    </row>
    <row r="49" ht="15" customHeight="1">
      <c r="A49" t="inlineStr">
        <is>
          <t>A 40564-2023</t>
        </is>
      </c>
      <c r="B49" s="1" t="n">
        <v>45170</v>
      </c>
      <c r="C49" s="1" t="n">
        <v>45740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Tjäder</t>
        </is>
      </c>
      <c r="S49">
        <f>HYPERLINK("https://klasma.github.io/Logging_0860/artfynd/A 40564-2023 artfynd.xlsx", "A 40564-2023")</f>
        <v/>
      </c>
      <c r="T49">
        <f>HYPERLINK("https://klasma.github.io/Logging_0860/kartor/A 40564-2023 karta.png", "A 40564-2023")</f>
        <v/>
      </c>
      <c r="U49">
        <f>HYPERLINK("https://klasma.github.io/Logging_0860/knärot/A 40564-2023 karta knärot.png", "A 40564-2023")</f>
        <v/>
      </c>
      <c r="V49">
        <f>HYPERLINK("https://klasma.github.io/Logging_0860/klagomål/A 40564-2023 FSC-klagomål.docx", "A 40564-2023")</f>
        <v/>
      </c>
      <c r="W49">
        <f>HYPERLINK("https://klasma.github.io/Logging_0860/klagomålsmail/A 40564-2023 FSC-klagomål mail.docx", "A 40564-2023")</f>
        <v/>
      </c>
      <c r="X49">
        <f>HYPERLINK("https://klasma.github.io/Logging_0860/tillsyn/A 40564-2023 tillsynsbegäran.docx", "A 40564-2023")</f>
        <v/>
      </c>
      <c r="Y49">
        <f>HYPERLINK("https://klasma.github.io/Logging_0860/tillsynsmail/A 40564-2023 tillsynsbegäran mail.docx", "A 40564-2023")</f>
        <v/>
      </c>
      <c r="Z49">
        <f>HYPERLINK("https://klasma.github.io/Logging_0860/fåglar/A 40564-2023 prioriterade fågelarter.docx", "A 40564-2023")</f>
        <v/>
      </c>
    </row>
    <row r="50" ht="15" customHeight="1">
      <c r="A50" t="inlineStr">
        <is>
          <t>A 48911-2023</t>
        </is>
      </c>
      <c r="B50" s="1" t="n">
        <v>45209</v>
      </c>
      <c r="C50" s="1" t="n">
        <v>45740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6.6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Blåsippa</t>
        </is>
      </c>
      <c r="S50">
        <f>HYPERLINK("https://klasma.github.io/Logging_0860/artfynd/A 48911-2023 artfynd.xlsx", "A 48911-2023")</f>
        <v/>
      </c>
      <c r="T50">
        <f>HYPERLINK("https://klasma.github.io/Logging_0860/kartor/A 48911-2023 karta.png", "A 48911-2023")</f>
        <v/>
      </c>
      <c r="U50">
        <f>HYPERLINK("https://klasma.github.io/Logging_0860/knärot/A 48911-2023 karta knärot.png", "A 48911-2023")</f>
        <v/>
      </c>
      <c r="V50">
        <f>HYPERLINK("https://klasma.github.io/Logging_0860/klagomål/A 48911-2023 FSC-klagomål.docx", "A 48911-2023")</f>
        <v/>
      </c>
      <c r="W50">
        <f>HYPERLINK("https://klasma.github.io/Logging_0860/klagomålsmail/A 48911-2023 FSC-klagomål mail.docx", "A 48911-2023")</f>
        <v/>
      </c>
      <c r="X50">
        <f>HYPERLINK("https://klasma.github.io/Logging_0860/tillsyn/A 48911-2023 tillsynsbegäran.docx", "A 48911-2023")</f>
        <v/>
      </c>
      <c r="Y50">
        <f>HYPERLINK("https://klasma.github.io/Logging_0860/tillsynsmail/A 48911-2023 tillsynsbegäran mail.docx", "A 48911-2023")</f>
        <v/>
      </c>
      <c r="Z50">
        <f>HYPERLINK("https://klasma.github.io/Logging_0860/fåglar/A 48911-2023 prioriterade fågelarter.docx", "A 48911-2023")</f>
        <v/>
      </c>
    </row>
    <row r="51" ht="15" customHeight="1">
      <c r="A51" t="inlineStr">
        <is>
          <t>A 51069-2023</t>
        </is>
      </c>
      <c r="B51" s="1" t="n">
        <v>45211</v>
      </c>
      <c r="C51" s="1" t="n">
        <v>45740</v>
      </c>
      <c r="D51" t="inlineStr">
        <is>
          <t>KALMAR LÄN</t>
        </is>
      </c>
      <c r="E51" t="inlineStr">
        <is>
          <t>HULTSFRED</t>
        </is>
      </c>
      <c r="G51" t="n">
        <v>8.1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Vågbandad barkbock</t>
        </is>
      </c>
      <c r="S51">
        <f>HYPERLINK("https://klasma.github.io/Logging_0860/artfynd/A 51069-2023 artfynd.xlsx", "A 51069-2023")</f>
        <v/>
      </c>
      <c r="T51">
        <f>HYPERLINK("https://klasma.github.io/Logging_0860/kartor/A 51069-2023 karta.png", "A 51069-2023")</f>
        <v/>
      </c>
      <c r="V51">
        <f>HYPERLINK("https://klasma.github.io/Logging_0860/klagomål/A 51069-2023 FSC-klagomål.docx", "A 51069-2023")</f>
        <v/>
      </c>
      <c r="W51">
        <f>HYPERLINK("https://klasma.github.io/Logging_0860/klagomålsmail/A 51069-2023 FSC-klagomål mail.docx", "A 51069-2023")</f>
        <v/>
      </c>
      <c r="X51">
        <f>HYPERLINK("https://klasma.github.io/Logging_0860/tillsyn/A 51069-2023 tillsynsbegäran.docx", "A 51069-2023")</f>
        <v/>
      </c>
      <c r="Y51">
        <f>HYPERLINK("https://klasma.github.io/Logging_0860/tillsynsmail/A 51069-2023 tillsynsbegäran mail.docx", "A 51069-2023")</f>
        <v/>
      </c>
    </row>
    <row r="52" ht="15" customHeight="1">
      <c r="A52" t="inlineStr">
        <is>
          <t>A 13006-2024</t>
        </is>
      </c>
      <c r="B52" s="1" t="n">
        <v>45385</v>
      </c>
      <c r="C52" s="1" t="n">
        <v>45740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Skarp dropptaggsvamp</t>
        </is>
      </c>
      <c r="S52">
        <f>HYPERLINK("https://klasma.github.io/Logging_0860/artfynd/A 13006-2024 artfynd.xlsx", "A 13006-2024")</f>
        <v/>
      </c>
      <c r="T52">
        <f>HYPERLINK("https://klasma.github.io/Logging_0860/kartor/A 13006-2024 karta.png", "A 13006-2024")</f>
        <v/>
      </c>
      <c r="U52">
        <f>HYPERLINK("https://klasma.github.io/Logging_0860/knärot/A 13006-2024 karta knärot.png", "A 13006-2024")</f>
        <v/>
      </c>
      <c r="V52">
        <f>HYPERLINK("https://klasma.github.io/Logging_0860/klagomål/A 13006-2024 FSC-klagomål.docx", "A 13006-2024")</f>
        <v/>
      </c>
      <c r="W52">
        <f>HYPERLINK("https://klasma.github.io/Logging_0860/klagomålsmail/A 13006-2024 FSC-klagomål mail.docx", "A 13006-2024")</f>
        <v/>
      </c>
      <c r="X52">
        <f>HYPERLINK("https://klasma.github.io/Logging_0860/tillsyn/A 13006-2024 tillsynsbegäran.docx", "A 13006-2024")</f>
        <v/>
      </c>
      <c r="Y52">
        <f>HYPERLINK("https://klasma.github.io/Logging_0860/tillsynsmail/A 13006-2024 tillsynsbegäran mail.docx", "A 13006-2024")</f>
        <v/>
      </c>
    </row>
    <row r="53" ht="15" customHeight="1">
      <c r="A53" t="inlineStr">
        <is>
          <t>A 13520-2024</t>
        </is>
      </c>
      <c r="B53" s="1" t="n">
        <v>45387</v>
      </c>
      <c r="C53" s="1" t="n">
        <v>45740</v>
      </c>
      <c r="D53" t="inlineStr">
        <is>
          <t>KALMAR LÄN</t>
        </is>
      </c>
      <c r="E53" t="inlineStr">
        <is>
          <t>HULTSFRED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Entita</t>
        </is>
      </c>
      <c r="S53">
        <f>HYPERLINK("https://klasma.github.io/Logging_0860/artfynd/A 13520-2024 artfynd.xlsx", "A 13520-2024")</f>
        <v/>
      </c>
      <c r="T53">
        <f>HYPERLINK("https://klasma.github.io/Logging_0860/kartor/A 13520-2024 karta.png", "A 13520-2024")</f>
        <v/>
      </c>
      <c r="V53">
        <f>HYPERLINK("https://klasma.github.io/Logging_0860/klagomål/A 13520-2024 FSC-klagomål.docx", "A 13520-2024")</f>
        <v/>
      </c>
      <c r="W53">
        <f>HYPERLINK("https://klasma.github.io/Logging_0860/klagomålsmail/A 13520-2024 FSC-klagomål mail.docx", "A 13520-2024")</f>
        <v/>
      </c>
      <c r="X53">
        <f>HYPERLINK("https://klasma.github.io/Logging_0860/tillsyn/A 13520-2024 tillsynsbegäran.docx", "A 13520-2024")</f>
        <v/>
      </c>
      <c r="Y53">
        <f>HYPERLINK("https://klasma.github.io/Logging_0860/tillsynsmail/A 13520-2024 tillsynsbegäran mail.docx", "A 13520-2024")</f>
        <v/>
      </c>
      <c r="Z53">
        <f>HYPERLINK("https://klasma.github.io/Logging_0860/fåglar/A 13520-2024 prioriterade fågelarter.docx", "A 13520-2024")</f>
        <v/>
      </c>
    </row>
    <row r="54" ht="15" customHeight="1">
      <c r="A54" t="inlineStr">
        <is>
          <t>A 28468-2024</t>
        </is>
      </c>
      <c r="B54" s="1" t="n">
        <v>45477</v>
      </c>
      <c r="C54" s="1" t="n">
        <v>45740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Bred kärrtrollslända
Pudrad kärrtrollslända</t>
        </is>
      </c>
      <c r="S54">
        <f>HYPERLINK("https://klasma.github.io/Logging_0860/artfynd/A 28468-2024 artfynd.xlsx", "A 28468-2024")</f>
        <v/>
      </c>
      <c r="T54">
        <f>HYPERLINK("https://klasma.github.io/Logging_0860/kartor/A 28468-2024 karta.png", "A 28468-2024")</f>
        <v/>
      </c>
      <c r="V54">
        <f>HYPERLINK("https://klasma.github.io/Logging_0860/klagomål/A 28468-2024 FSC-klagomål.docx", "A 28468-2024")</f>
        <v/>
      </c>
      <c r="W54">
        <f>HYPERLINK("https://klasma.github.io/Logging_0860/klagomålsmail/A 28468-2024 FSC-klagomål mail.docx", "A 28468-2024")</f>
        <v/>
      </c>
      <c r="X54">
        <f>HYPERLINK("https://klasma.github.io/Logging_0860/tillsyn/A 28468-2024 tillsynsbegäran.docx", "A 28468-2024")</f>
        <v/>
      </c>
      <c r="Y54">
        <f>HYPERLINK("https://klasma.github.io/Logging_0860/tillsynsmail/A 28468-2024 tillsynsbegäran mail.docx", "A 28468-2024")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45740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45740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45740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45740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45740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45740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45740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45740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45740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45740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45740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45740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45740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45740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45740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45740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45740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45740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45740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45740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45740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45740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45740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45740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45740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45740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45740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45740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45740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45740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45740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45740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45740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45740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45740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45740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45740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45740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45740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45740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45740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45740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45740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45740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45740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45740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45740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45740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45740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45740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45740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45740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45740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45740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45740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45740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45740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45740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45740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45740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45740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45740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45740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45740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45740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45740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45740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45740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45740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45740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45740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45740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45740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45740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45740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45740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45740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45740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45740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45740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45740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45740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45740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45740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45740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45740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45740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45740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45740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45740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45740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45740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45740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45740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45740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45740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45740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45740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45740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45740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45740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45740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45740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45740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45740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45740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45740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45740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45740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45740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45740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45740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45740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45740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45740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45740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45740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45740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45740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45740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45740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45740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45740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45740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45740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45740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45740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45740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45740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45740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45740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45740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45740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45740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45740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45740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45740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45740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45740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45740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45740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45740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45740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45740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45740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45740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45740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45740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45740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45740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45740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45740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45740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45740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45740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45740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45740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45740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45740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45740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45740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45740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45740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45740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45740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45740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45740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45740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45740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45740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45740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45740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45740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45740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45740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45740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45740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45740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45740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45740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45740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45740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45740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45740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45740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45740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45740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45740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45740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45740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45740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45740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45740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45740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45740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45740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45740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45740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45740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45740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45740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45740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45740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45740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45740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45740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45740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45740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45740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45740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45740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45740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45740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45740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45740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45740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45740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45740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45740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45740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45740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45740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45740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45740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45740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45740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45740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45740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45740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45740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45740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45740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45740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45740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45740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45740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45740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45740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45740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45740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45740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45740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45740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45740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45740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45740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45740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45740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45740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45740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45740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45740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45740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45740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45740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45740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45740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45740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45740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45740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45740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45740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45740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45740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45740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45740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45740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45740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45740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45740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45740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45740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45740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45740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45740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45740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45740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45740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45740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45740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45740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45740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45740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45740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45740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45740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45740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45740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45740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45740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45740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45740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45740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45740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45740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45740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45740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45740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45740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45740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45740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45740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45740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45740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45740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45740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45740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45740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45740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45740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45740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45740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45740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45740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45740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45740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45740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45740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45740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45740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45740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45740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45740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45740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45740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45740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45740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45740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45740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45740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45740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45740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45740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45740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45740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45740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45740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45740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45740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45740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45740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45740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45740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45740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45740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45740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45740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45740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45740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45740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45740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45740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45740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45740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45740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45740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45740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45740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45740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45740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45740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45740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45740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45740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45740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45740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45740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45740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45740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45740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45740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45740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45740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45740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45740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45740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45740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45740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45740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45740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45740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45740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45740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45740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45740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45740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45740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45740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45740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45740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45740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45740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45740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45740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45740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45740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45740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45740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45740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45740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45740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45740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45740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45740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45740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45740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45740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45740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45740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45740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45740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45740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45740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45740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45740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45740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45740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45740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45740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45740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45740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45740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45740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45740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45740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45740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45740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45740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45740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45740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45740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45740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45740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45740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45740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45740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45740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45740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45740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45740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45740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45740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45740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45740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45740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45740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45740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45740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45740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45740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45740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45740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45740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45740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45740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45740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45740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45740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45740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45740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45740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45740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45740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45740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45740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45740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45740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45740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45740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45740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45740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45740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45740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45740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45740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45740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45740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45740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45740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45740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45740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45740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45740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45740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45740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45740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45740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45740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45740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45740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45740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45740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45740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45740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45740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45740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45740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45740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45740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45740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45740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45740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45740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45740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45740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45740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45740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45740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45740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45740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45740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45740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45740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45740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45740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45740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45740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45740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45740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45740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45740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45740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45740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45740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45740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45740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45740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45740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45740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45740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45740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45740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45740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45740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45740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45740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45740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45740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45740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45740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45740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45740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45740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45740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45740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45740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45740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45740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45740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45740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45740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45740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45740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45740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45740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45740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45740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45740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45740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45740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45740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45740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45740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45740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45740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45740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45740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45740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45740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45740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45740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45740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45740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45740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45740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45740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45740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45740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45740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45740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45740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45740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45740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45740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45740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45740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45740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45740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45740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45740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45740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45740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45740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45740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45740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45740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45740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45740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45740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45740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45740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45740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45740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45740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45740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45740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45740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45740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45740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45740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45740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45740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45740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45740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45740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45740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45740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45740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45740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45740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45740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45740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45740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45740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45740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45740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45740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45740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45740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45740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45740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45740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45740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45740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45740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45740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45740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45740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45740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45740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45740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45740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45740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45740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45740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45740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45740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45740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45740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45740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45740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45740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45740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45740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45740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45740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45740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45740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45740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45740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45740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45740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45740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45740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45740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45740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45740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45740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45740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45740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45740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45740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45740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45740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45740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45740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45740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45740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45740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45740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45740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45740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45740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45740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45740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45740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45740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45740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45740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45740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45740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45740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45740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45740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45740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45740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45740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45740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45740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45740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45740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45740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45740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45740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45740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45740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45740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45740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45740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45740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45740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45740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45740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45740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45740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45740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45740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45740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45740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45740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45740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45740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45740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45740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45740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45740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45740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45740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45740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45740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45740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45740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45740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45740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45740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45740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45740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45740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45740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45740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45740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45740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45740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45740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45740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45740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45740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45740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45740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45740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45740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45740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45740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45740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45740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45740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45740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45740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45740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45740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45740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45740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45740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45740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45740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45740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45740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45740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45740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45740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45740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45740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45740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45740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45740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45740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45740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45740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45740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45740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45740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45740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45740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45740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45740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45740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45740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45740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45740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45740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45740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45740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45740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45740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45740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45740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45740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45740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45740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45740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45740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45740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45740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45740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45740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45740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45740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45740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45740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45740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45740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45740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45740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45740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45740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45740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45740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45740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45740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45740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45740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45740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45740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45740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45740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45740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45740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45740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45740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45740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45740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45740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45740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45740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45740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45740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45740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45740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45740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45740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45740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45740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45740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45740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45740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45740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45740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45740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45740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45740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45740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45740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45740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45740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45740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45740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45740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45740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45740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45740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45740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45740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45740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45740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45740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45740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45740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45740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45740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45740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45740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45740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45740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45740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45740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45740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45740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45740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45740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45740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45740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45740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45740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45740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45740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45740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45740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45740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45740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45740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45740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45740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45740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45740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45740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45740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45740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45740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45740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45740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45740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45740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45740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45740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45740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45740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45740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45740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45740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45740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45740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45740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45740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45740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45740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45740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45740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45740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45740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45740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45740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45740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45740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45740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45740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45740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45740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45740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45740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45740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45740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45740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45740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45740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45740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45740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45740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45740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45740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45740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45740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45740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45740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45740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45740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45740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45740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45740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45740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45740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45740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45740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45740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45740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45740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45740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45740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45740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45740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45740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45740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45740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45740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45740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45740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45740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45740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45740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45740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45740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45740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45740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45740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45740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45740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45740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45740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45740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45740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45740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45740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45740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45740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45740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45740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45740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45740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45740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45740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45740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45740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45740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45740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45740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45740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45740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45740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45740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45740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45740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45740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45740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45740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45740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45740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45740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45740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45740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45740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45740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45740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45740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45740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45740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45740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45740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45740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45740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45740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45740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45740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45740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45740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45740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45740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45740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45740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45740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45740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45740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45740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45740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45740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45740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45740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45740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45740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45740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45740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45740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45740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45740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45740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45740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45740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45740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45740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45740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45740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45740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45740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45740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45740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45740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45740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45740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45740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45740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45740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45740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45740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45740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45740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45740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45740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45740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45740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45740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45740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45740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45740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45740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45740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45740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45740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45740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45740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45740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45740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45740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45740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45740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45740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45740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45740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45740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45740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45740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45740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45740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45740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45740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45740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45740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45740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45740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45740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45740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45740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45740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45740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45740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45740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45740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45740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45740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45740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45740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45740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45740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45740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45740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45740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45740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45740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45740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45740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45740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45740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45740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45740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45740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45740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45740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45740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45740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45740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45740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45740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45740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45740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45740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45740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45740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45740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45740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45740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45740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45740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45740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45740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45740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45740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45740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45740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45740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45740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45740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45740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45740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45740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45740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45740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45740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45740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45740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45740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45740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45740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45740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45740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45740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45740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45740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45740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45740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45740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45740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45740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45740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45740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45740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45740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45740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45740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45740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45740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45740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45740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45740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45740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45740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45740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45740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45740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45740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45740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45740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45740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45740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45740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45740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45740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45740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45740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45740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45740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45740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45740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45740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45740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45740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45740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45740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45740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45740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45740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45740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45740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45740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45740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45740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45740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45740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45740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45740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45740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45740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45740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45740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45740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45740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45740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45740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45740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45740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45740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45740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45740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45740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45740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45740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45740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45740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45740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45740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45740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45740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45740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45740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45740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45740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45740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45740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45740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45740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45740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45740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45740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45740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45740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45740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45740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45740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45740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45740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45740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45740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45740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45740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45740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45740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45740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45740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45740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45740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45740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45740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45740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45740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45740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45740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45740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45740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45740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45740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45740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45740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45740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45740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45740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45740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45740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45740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45740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45740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45740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45740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45740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45740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45740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45740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45740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45740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45740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45740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45740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45740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45740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45740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45740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45740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45740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45740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45740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45740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45740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45740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45740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45740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45740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45740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45740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45740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45740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45740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45740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45740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45740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45740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45740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45740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45740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45740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45740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45740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45740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45740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45740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45740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45740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45740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45740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45740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45740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45740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45740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45740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45740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45740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45740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45740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45740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45740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45740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45740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45740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45740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45740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45740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45740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45740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45740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45740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45740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45740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45740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45740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45740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45740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45740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45740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45740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45740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45740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45740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45740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45740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45740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45740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45740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45740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45740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45740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45740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45740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45740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45740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45740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45740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45740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45740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45740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45740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45740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45740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45740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45740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45740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45740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45740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45740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45740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45740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45740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45740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45740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45740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45740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45740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45740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45740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45740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45740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45740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45740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45740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45740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45740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45740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45740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45740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45740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45740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45740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45740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45740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45740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45740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45740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45740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45740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45740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45740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45740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45740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45740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45740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45740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45740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45740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45740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45740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45740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45740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45740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45740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45740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45740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45740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45740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45740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45740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45740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45740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7415-2025</t>
        </is>
      </c>
      <c r="B1500" s="1" t="n">
        <v>45705</v>
      </c>
      <c r="C1500" s="1" t="n">
        <v>45740</v>
      </c>
      <c r="D1500" t="inlineStr">
        <is>
          <t>KALMAR LÄN</t>
        </is>
      </c>
      <c r="E1500" t="inlineStr">
        <is>
          <t>HULTSFRED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45740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45740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45740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7658-2025</t>
        </is>
      </c>
      <c r="B1504" s="1" t="n">
        <v>45706</v>
      </c>
      <c r="C1504" s="1" t="n">
        <v>45740</v>
      </c>
      <c r="D1504" t="inlineStr">
        <is>
          <t>KALMAR LÄN</t>
        </is>
      </c>
      <c r="E1504" t="inlineStr">
        <is>
          <t>HULTSFRED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7671-2025</t>
        </is>
      </c>
      <c r="B1505" s="1" t="n">
        <v>45706</v>
      </c>
      <c r="C1505" s="1" t="n">
        <v>45740</v>
      </c>
      <c r="D1505" t="inlineStr">
        <is>
          <t>KALMAR LÄN</t>
        </is>
      </c>
      <c r="E1505" t="inlineStr">
        <is>
          <t>HULTSFRED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45740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45740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45740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45740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9328-2025</t>
        </is>
      </c>
      <c r="B1510" s="1" t="n">
        <v>45714</v>
      </c>
      <c r="C1510" s="1" t="n">
        <v>45740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9296-2025</t>
        </is>
      </c>
      <c r="B1511" s="1" t="n">
        <v>45714</v>
      </c>
      <c r="C1511" s="1" t="n">
        <v>45740</v>
      </c>
      <c r="D1511" t="inlineStr">
        <is>
          <t>KALMAR LÄN</t>
        </is>
      </c>
      <c r="E1511" t="inlineStr">
        <is>
          <t>HULTSFRED</t>
        </is>
      </c>
      <c r="F1511" t="inlineStr">
        <is>
          <t>Övriga Aktiebolag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9293-2025</t>
        </is>
      </c>
      <c r="B1512" s="1" t="n">
        <v>45714</v>
      </c>
      <c r="C1512" s="1" t="n">
        <v>45740</v>
      </c>
      <c r="D1512" t="inlineStr">
        <is>
          <t>KALMAR LÄN</t>
        </is>
      </c>
      <c r="E1512" t="inlineStr">
        <is>
          <t>HULTSFRED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45740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45740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9483-2025</t>
        </is>
      </c>
      <c r="B1515" s="1" t="n">
        <v>45715</v>
      </c>
      <c r="C1515" s="1" t="n">
        <v>45740</v>
      </c>
      <c r="D1515" t="inlineStr">
        <is>
          <t>KALMAR LÄN</t>
        </is>
      </c>
      <c r="E1515" t="inlineStr">
        <is>
          <t>HULTSFRED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9587-2025</t>
        </is>
      </c>
      <c r="B1516" s="1" t="n">
        <v>45715</v>
      </c>
      <c r="C1516" s="1" t="n">
        <v>45740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9592-2025</t>
        </is>
      </c>
      <c r="B1517" s="1" t="n">
        <v>45715</v>
      </c>
      <c r="C1517" s="1" t="n">
        <v>45740</v>
      </c>
      <c r="D1517" t="inlineStr">
        <is>
          <t>KALMAR LÄN</t>
        </is>
      </c>
      <c r="E1517" t="inlineStr">
        <is>
          <t>HULTSFRED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9594-2025</t>
        </is>
      </c>
      <c r="B1518" s="1" t="n">
        <v>45715</v>
      </c>
      <c r="C1518" s="1" t="n">
        <v>45740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45740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9561-2025</t>
        </is>
      </c>
      <c r="B1520" s="1" t="n">
        <v>45715</v>
      </c>
      <c r="C1520" s="1" t="n">
        <v>45740</v>
      </c>
      <c r="D1520" t="inlineStr">
        <is>
          <t>KALMAR LÄN</t>
        </is>
      </c>
      <c r="E1520" t="inlineStr">
        <is>
          <t>HULTSFRED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9591-2025</t>
        </is>
      </c>
      <c r="B1521" s="1" t="n">
        <v>45715</v>
      </c>
      <c r="C1521" s="1" t="n">
        <v>45740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45740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45740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45740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45740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9944-2025</t>
        </is>
      </c>
      <c r="B1526" s="1" t="n">
        <v>45719</v>
      </c>
      <c r="C1526" s="1" t="n">
        <v>45740</v>
      </c>
      <c r="D1526" t="inlineStr">
        <is>
          <t>KALMAR LÄN</t>
        </is>
      </c>
      <c r="E1526" t="inlineStr">
        <is>
          <t>HULTSFRED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9945-2025</t>
        </is>
      </c>
      <c r="B1527" s="1" t="n">
        <v>45719</v>
      </c>
      <c r="C1527" s="1" t="n">
        <v>45740</v>
      </c>
      <c r="D1527" t="inlineStr">
        <is>
          <t>KALMAR LÄN</t>
        </is>
      </c>
      <c r="E1527" t="inlineStr">
        <is>
          <t>HULTSFRED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45740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45740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10445-2025</t>
        </is>
      </c>
      <c r="B1530" s="1" t="n">
        <v>45720</v>
      </c>
      <c r="C1530" s="1" t="n">
        <v>45740</v>
      </c>
      <c r="D1530" t="inlineStr">
        <is>
          <t>KALMAR LÄN</t>
        </is>
      </c>
      <c r="E1530" t="inlineStr">
        <is>
          <t>HULTSFRED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45740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10447-2025</t>
        </is>
      </c>
      <c r="B1532" s="1" t="n">
        <v>45720</v>
      </c>
      <c r="C1532" s="1" t="n">
        <v>45740</v>
      </c>
      <c r="D1532" t="inlineStr">
        <is>
          <t>KALMAR LÄN</t>
        </is>
      </c>
      <c r="E1532" t="inlineStr">
        <is>
          <t>HULTSFRED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10446-2025</t>
        </is>
      </c>
      <c r="B1533" s="1" t="n">
        <v>45720</v>
      </c>
      <c r="C1533" s="1" t="n">
        <v>45740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45740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45740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10998-2025</t>
        </is>
      </c>
      <c r="B1536" s="1" t="n">
        <v>45723</v>
      </c>
      <c r="C1536" s="1" t="n">
        <v>45740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10995-2025</t>
        </is>
      </c>
      <c r="B1537" s="1" t="n">
        <v>45723</v>
      </c>
      <c r="C1537" s="1" t="n">
        <v>45740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11005-2025</t>
        </is>
      </c>
      <c r="B1538" s="1" t="n">
        <v>45723</v>
      </c>
      <c r="C1538" s="1" t="n">
        <v>45740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45740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11007-2025</t>
        </is>
      </c>
      <c r="B1540" s="1" t="n">
        <v>45723</v>
      </c>
      <c r="C1540" s="1" t="n">
        <v>45740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11312-2025</t>
        </is>
      </c>
      <c r="B1541" s="1" t="n">
        <v>45726</v>
      </c>
      <c r="C1541" s="1" t="n">
        <v>45740</v>
      </c>
      <c r="D1541" t="inlineStr">
        <is>
          <t>KALMAR LÄN</t>
        </is>
      </c>
      <c r="E1541" t="inlineStr">
        <is>
          <t>HULTSFRED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11201-2025</t>
        </is>
      </c>
      <c r="B1542" s="1" t="n">
        <v>45726</v>
      </c>
      <c r="C1542" s="1" t="n">
        <v>45740</v>
      </c>
      <c r="D1542" t="inlineStr">
        <is>
          <t>KALMAR LÄN</t>
        </is>
      </c>
      <c r="E1542" t="inlineStr">
        <is>
          <t>HULTSFRED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11383-2025</t>
        </is>
      </c>
      <c r="B1543" s="1" t="n">
        <v>45726</v>
      </c>
      <c r="C1543" s="1" t="n">
        <v>45740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45740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11334-2025</t>
        </is>
      </c>
      <c r="B1545" s="1" t="n">
        <v>45726</v>
      </c>
      <c r="C1545" s="1" t="n">
        <v>45740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45740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11497-2025</t>
        </is>
      </c>
      <c r="B1547" s="1" t="n">
        <v>45726</v>
      </c>
      <c r="C1547" s="1" t="n">
        <v>45740</v>
      </c>
      <c r="D1547" t="inlineStr">
        <is>
          <t>KALMAR LÄN</t>
        </is>
      </c>
      <c r="E1547" t="inlineStr">
        <is>
          <t>HULTSFRED</t>
        </is>
      </c>
      <c r="F1547" t="inlineStr">
        <is>
          <t>Övriga Aktiebolag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11440-2025</t>
        </is>
      </c>
      <c r="B1548" s="1" t="n">
        <v>45726</v>
      </c>
      <c r="C1548" s="1" t="n">
        <v>45740</v>
      </c>
      <c r="D1548" t="inlineStr">
        <is>
          <t>KALMAR LÄN</t>
        </is>
      </c>
      <c r="E1548" t="inlineStr">
        <is>
          <t>HULTSFRED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11580-2025</t>
        </is>
      </c>
      <c r="B1549" s="1" t="n">
        <v>45727</v>
      </c>
      <c r="C1549" s="1" t="n">
        <v>45740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45740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12193-2025</t>
        </is>
      </c>
      <c r="B1551" s="1" t="n">
        <v>45729</v>
      </c>
      <c r="C1551" s="1" t="n">
        <v>45740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12244-2025</t>
        </is>
      </c>
      <c r="B1552" s="1" t="n">
        <v>45729</v>
      </c>
      <c r="C1552" s="1" t="n">
        <v>45740</v>
      </c>
      <c r="D1552" t="inlineStr">
        <is>
          <t>KALMAR LÄN</t>
        </is>
      </c>
      <c r="E1552" t="inlineStr">
        <is>
          <t>HULTSFRED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12283-2025</t>
        </is>
      </c>
      <c r="B1553" s="1" t="n">
        <v>45729</v>
      </c>
      <c r="C1553" s="1" t="n">
        <v>45740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45740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12200-2025</t>
        </is>
      </c>
      <c r="B1555" s="1" t="n">
        <v>45729</v>
      </c>
      <c r="C1555" s="1" t="n">
        <v>45740</v>
      </c>
      <c r="D1555" t="inlineStr">
        <is>
          <t>KALMAR LÄN</t>
        </is>
      </c>
      <c r="E1555" t="inlineStr">
        <is>
          <t>HULTSFRED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12245-2025</t>
        </is>
      </c>
      <c r="B1556" s="1" t="n">
        <v>45729</v>
      </c>
      <c r="C1556" s="1" t="n">
        <v>45740</v>
      </c>
      <c r="D1556" t="inlineStr">
        <is>
          <t>KALMAR LÄN</t>
        </is>
      </c>
      <c r="E1556" t="inlineStr">
        <is>
          <t>HULTSFRED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12336-2025</t>
        </is>
      </c>
      <c r="B1557" s="1" t="n">
        <v>45730</v>
      </c>
      <c r="C1557" s="1" t="n">
        <v>45740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12334-2025</t>
        </is>
      </c>
      <c r="B1558" s="1" t="n">
        <v>45730</v>
      </c>
      <c r="C1558" s="1" t="n">
        <v>45740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45740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12331-2025</t>
        </is>
      </c>
      <c r="B1560" s="1" t="n">
        <v>45730</v>
      </c>
      <c r="C1560" s="1" t="n">
        <v>45740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12337-2025</t>
        </is>
      </c>
      <c r="B1561" s="1" t="n">
        <v>45730</v>
      </c>
      <c r="C1561" s="1" t="n">
        <v>45740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12749-2025</t>
        </is>
      </c>
      <c r="B1562" s="1" t="n">
        <v>45733</v>
      </c>
      <c r="C1562" s="1" t="n">
        <v>45740</v>
      </c>
      <c r="D1562" t="inlineStr">
        <is>
          <t>KALMAR LÄN</t>
        </is>
      </c>
      <c r="E1562" t="inlineStr">
        <is>
          <t>HULTSFRED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12702-2025</t>
        </is>
      </c>
      <c r="B1563" s="1" t="n">
        <v>45733</v>
      </c>
      <c r="C1563" s="1" t="n">
        <v>45740</v>
      </c>
      <c r="D1563" t="inlineStr">
        <is>
          <t>KALMAR LÄN</t>
        </is>
      </c>
      <c r="E1563" t="inlineStr">
        <is>
          <t>HULTSFRED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12738-2025</t>
        </is>
      </c>
      <c r="B1564" s="1" t="n">
        <v>45733</v>
      </c>
      <c r="C1564" s="1" t="n">
        <v>45740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12969-2025</t>
        </is>
      </c>
      <c r="B1565" s="1" t="n">
        <v>45734</v>
      </c>
      <c r="C1565" s="1" t="n">
        <v>45740</v>
      </c>
      <c r="D1565" t="inlineStr">
        <is>
          <t>KALMAR LÄN</t>
        </is>
      </c>
      <c r="E1565" t="inlineStr">
        <is>
          <t>HULTSFRED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13156-2025</t>
        </is>
      </c>
      <c r="B1566" s="1" t="n">
        <v>45735</v>
      </c>
      <c r="C1566" s="1" t="n">
        <v>45740</v>
      </c>
      <c r="D1566" t="inlineStr">
        <is>
          <t>KALMAR LÄN</t>
        </is>
      </c>
      <c r="E1566" t="inlineStr">
        <is>
          <t>HULTSFRED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13157-2025</t>
        </is>
      </c>
      <c r="B1567" s="1" t="n">
        <v>45735</v>
      </c>
      <c r="C1567" s="1" t="n">
        <v>45740</v>
      </c>
      <c r="D1567" t="inlineStr">
        <is>
          <t>KALMAR LÄN</t>
        </is>
      </c>
      <c r="E1567" t="inlineStr">
        <is>
          <t>HULTSFRED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45740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13527-2025</t>
        </is>
      </c>
      <c r="B1569" s="1" t="n">
        <v>45736</v>
      </c>
      <c r="C1569" s="1" t="n">
        <v>45740</v>
      </c>
      <c r="D1569" t="inlineStr">
        <is>
          <t>KALMAR LÄN</t>
        </is>
      </c>
      <c r="E1569" t="inlineStr">
        <is>
          <t>HULTSFRED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13449-2025</t>
        </is>
      </c>
      <c r="B1570" s="1" t="n">
        <v>45736</v>
      </c>
      <c r="C1570" s="1" t="n">
        <v>45740</v>
      </c>
      <c r="D1570" t="inlineStr">
        <is>
          <t>KALMAR LÄN</t>
        </is>
      </c>
      <c r="E1570" t="inlineStr">
        <is>
          <t>HULTSFRED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13530-2025</t>
        </is>
      </c>
      <c r="B1571" s="1" t="n">
        <v>45736</v>
      </c>
      <c r="C1571" s="1" t="n">
        <v>45740</v>
      </c>
      <c r="D1571" t="inlineStr">
        <is>
          <t>KALMAR LÄN</t>
        </is>
      </c>
      <c r="E1571" t="inlineStr">
        <is>
          <t>HULTSFRED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2025-03-24T18:05:26Z</dcterms:created>
  <dcterms:modified xmlns:dcterms="http://purl.org/dc/terms/" xmlns:xsi="http://www.w3.org/2001/XMLSchema-instance" xsi:type="dcterms:W3CDTF">2025-03-24T18:05:28Z</dcterms:modified>
</cp:coreProperties>
</file>