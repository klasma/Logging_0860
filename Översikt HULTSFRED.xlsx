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45812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45812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45812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45812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45812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45812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45812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45812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45812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45812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45812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45812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45812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45812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45812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45812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45812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45812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45812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45812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45812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45812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45812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45812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45812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45812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45812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45812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45812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45812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45812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45812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45812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45812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45812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45812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45812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45812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45812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45812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45812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45812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45812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45812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45812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45812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45812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45812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45812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45812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45812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45812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45812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45812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45812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45812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45812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45812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45812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45812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45812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45812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45812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45812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45812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45812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45812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45812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45812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45812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45812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45812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45812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45812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45812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45812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45812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45812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45812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45812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45812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45812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45812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45812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45812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45812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45812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45812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45812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45812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45812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45812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45812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45812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45812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45812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45812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45812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45812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45812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45812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45812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45812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45812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45812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45812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45812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45812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45812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45812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45812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45812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45812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45812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45812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45812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45812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45812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45812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45812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45812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45812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45812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45812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45812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45812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45812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45812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45812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45812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45812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45812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45812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45812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26669-2025</t>
        </is>
      </c>
      <c r="B136" s="1" t="n">
        <v>45810</v>
      </c>
      <c r="C136" s="1" t="n">
        <v>45812</v>
      </c>
      <c r="D136" t="inlineStr">
        <is>
          <t>KALMAR LÄN</t>
        </is>
      </c>
      <c r="E136" t="inlineStr">
        <is>
          <t>HULTSFRED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Gulnål</t>
        </is>
      </c>
      <c r="S136">
        <f>HYPERLINK("https://klasma.github.io/Logging_080860/artfynd/A 26669-2025 artfynd.xlsx", "A 26669-2025")</f>
        <v/>
      </c>
      <c r="T136">
        <f>HYPERLINK("https://klasma.github.io/Logging_080860/kartor/A 26669-2025 karta.png", "A 26669-2025")</f>
        <v/>
      </c>
      <c r="V136">
        <f>HYPERLINK("https://klasma.github.io/Logging_080860/klagomål/A 26669-2025 FSC-klagomål.docx", "A 26669-2025")</f>
        <v/>
      </c>
      <c r="W136">
        <f>HYPERLINK("https://klasma.github.io/Logging_080860/klagomålsmail/A 26669-2025 FSC-klagomål mail.docx", "A 26669-2025")</f>
        <v/>
      </c>
      <c r="X136">
        <f>HYPERLINK("https://klasma.github.io/Logging_080860/tillsyn/A 26669-2025 tillsynsbegäran.docx", "A 26669-2025")</f>
        <v/>
      </c>
      <c r="Y136">
        <f>HYPERLINK("https://klasma.github.io/Logging_080860/tillsynsmail/A 26669-2025 tillsynsbegäran mail.docx", "A 26669-2025")</f>
        <v/>
      </c>
    </row>
    <row r="137" ht="15" customHeight="1">
      <c r="A137" t="inlineStr">
        <is>
          <t>A 26686-2025</t>
        </is>
      </c>
      <c r="B137" s="1" t="n">
        <v>45810</v>
      </c>
      <c r="C137" s="1" t="n">
        <v>45812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HYPERLINK("https://klasma.github.io/Logging_080860/artfynd/A 26686-2025 artfynd.xlsx", "A 26686-2025")</f>
        <v/>
      </c>
      <c r="T137">
        <f>HYPERLINK("https://klasma.github.io/Logging_080860/kartor/A 26686-2025 karta.png", "A 26686-2025")</f>
        <v/>
      </c>
      <c r="V137">
        <f>HYPERLINK("https://klasma.github.io/Logging_080860/klagomål/A 26686-2025 FSC-klagomål.docx", "A 26686-2025")</f>
        <v/>
      </c>
      <c r="W137">
        <f>HYPERLINK("https://klasma.github.io/Logging_080860/klagomålsmail/A 26686-2025 FSC-klagomål mail.docx", "A 26686-2025")</f>
        <v/>
      </c>
      <c r="X137">
        <f>HYPERLINK("https://klasma.github.io/Logging_080860/tillsyn/A 26686-2025 tillsynsbegäran.docx", "A 26686-2025")</f>
        <v/>
      </c>
      <c r="Y137">
        <f>HYPERLINK("https://klasma.github.io/Logging_080860/tillsynsmail/A 26686-2025 tillsynsbegäran mail.docx", "A 26686-2025")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45812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45812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45812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45812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45812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45812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45812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45812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45812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45812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45812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45812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45812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45812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45812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45812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45812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45812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45812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45812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45812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45812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45812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45812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45812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45812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45812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45812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45812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45812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45812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45812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45812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45812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45812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45812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45812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45812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45812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45812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45812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45812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45812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45812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45812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45812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45812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45812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45812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45812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45812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45812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45812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45812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45812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45812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45812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45812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45812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45812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45812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45812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45812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45812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45812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45812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45812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45812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45812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45812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45812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45812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45812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45812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45812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45812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45812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45812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45812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45812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45812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45812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45812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45812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45812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45812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45812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45812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45812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45812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45812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45812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45812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45812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45812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45812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45812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45812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45812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45812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45812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45812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45812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45812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45812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45812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45812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45812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45812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45812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45812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45812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45812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45812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45812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45812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45812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45812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45812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45812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45812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45812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45812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45812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45812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45812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45812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45812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45812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45812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45812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45812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45812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45812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45812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45812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45812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45812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45812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45812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45812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45812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45812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45812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45812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45812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45812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45812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45812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45812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45812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45812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45812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45812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45812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45812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45812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45812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45812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45812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45812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45812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45812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45812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45812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45812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45812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45812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45812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45812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45812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45812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45812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45812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45812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45812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45812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45812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45812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45812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45812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45812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45812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45812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45812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45812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45812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45812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45812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45812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45812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45812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45812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45812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45812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45812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45812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45812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45812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45812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45812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45812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45812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45812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45812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45812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45812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45812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45812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45812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45812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45812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45812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45812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45812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45812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45812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45812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45812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45812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45812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45812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45812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45812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45812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45812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45812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45812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45812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45812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45812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45812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45812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45812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45812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45812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45812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45812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45812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45812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45812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45812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45812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45812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45812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45812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45812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45812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45812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45812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45812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45812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45812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45812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45812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45812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45812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45812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45812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45812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45812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45812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45812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45812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45812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45812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45812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45812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45812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45812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45812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45812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45812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45812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45812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45812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45812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45812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45812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45812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45812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45812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45812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45812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45812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45812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45812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45812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45812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45812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45812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45812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45812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45812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45812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45812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45812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45812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45812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45812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45812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45812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45812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45812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45812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45812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45812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45812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45812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45812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45812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45812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45812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45812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45812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45812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45812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45812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45812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45812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45812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45812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45812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45812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45812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45812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45812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45812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45812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45812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45812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45812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45812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45812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45812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45812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45812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45812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45812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45812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45812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45812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45812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45812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45812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45812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45812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45812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45812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45812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45812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45812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45812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45812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45812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45812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45812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45812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45812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45812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45812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45812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45812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45812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45812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45812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45812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45812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45812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45812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45812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45812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45812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45812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45812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45812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45812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45812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45812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45812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45812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45812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45812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45812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45812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45812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45812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45812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45812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45812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45812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45812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45812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45812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45812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45812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45812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45812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45812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45812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45812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45812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45812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45812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45812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45812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45812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45812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45812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45812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45812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45812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45812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45812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45812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45812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45812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45812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45812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45812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45812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45812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45812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45812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45812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45812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45812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45812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45812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45812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45812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45812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45812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45812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45812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45812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45812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45812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45812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45812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45812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45812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45812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45812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45812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45812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45812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45812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45812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45812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45812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45812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45812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45812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45812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45812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45812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45812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45812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45812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45812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45812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45812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45812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45812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45812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45812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45812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45812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45812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45812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45812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45812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45812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45812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45812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45812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45812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45812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45812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45812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45812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45812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45812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45812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45812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45812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45812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45812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45812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45812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45812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45812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45812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45812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45812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45812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45812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45812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45812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45812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45812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45812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45812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45812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45812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45812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45812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45812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45812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45812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45812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45812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45812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45812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45812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45812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45812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45812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45812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45812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45812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45812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45812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45812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45812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45812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45812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45812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45812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45812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45812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45812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45812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45812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45812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45812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45812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45812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45812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45812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45812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45812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45812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45812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45812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45812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45812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45812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45812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45812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45812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45812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45812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45812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45812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45812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45812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45812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45812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45812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45812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45812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45812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45812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45812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45812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45812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45812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45812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45812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45812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45812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45812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45812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45812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45812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45812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45812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45812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45812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45812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45812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45812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45812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45812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45812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45812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45812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45812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45812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45812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45812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45812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45812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45812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45812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45812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45812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45812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45812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45812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45812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45812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45812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45812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45812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45812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45812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45812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45812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45812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45812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45812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45812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45812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45812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45812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45812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45812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45812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45812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45812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45812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45812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45812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45812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45812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45812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45812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45812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45812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45812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45812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45812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45812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45812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45812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45812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45812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45812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45812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45812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45812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45812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45812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45812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45812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45812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45812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45812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45812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45812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45812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45812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45812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45812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45812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45812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45812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45812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45812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45812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45812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45812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45812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45812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45812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45812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45812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45812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45812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45812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45812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45812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45812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45812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45812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45812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45812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45812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45812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45812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45812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45812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45812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45812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45812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45812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45812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45812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45812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45812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45812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45812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45812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45812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45812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45812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45812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45812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45812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45812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45812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45812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45812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45812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45812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45812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45812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45812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45812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45812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45812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45812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45812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45812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45812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45812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45812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45812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45812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45812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45812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45812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45812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45812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45812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45812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45812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45812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45812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45812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45812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45812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45812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45812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45812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45812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45812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45812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45812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45812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45812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45812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45812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45812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45812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45812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45812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45812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45812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45812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45812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45812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45812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45812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45812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45812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45812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45812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45812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45812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45812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45812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45812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45812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45812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45812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45812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45812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45812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45812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45812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45812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45812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45812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45812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45812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45812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45812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45812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45812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45812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45812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45812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45812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45812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45812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45812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45812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45812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45812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45812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45812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45812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45812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45812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45812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45812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45812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45812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45812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45812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45812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45812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45812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45812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45812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45812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45812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45812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45812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45812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45812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45812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45812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45812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45812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45812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45812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45812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45812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45812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45812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45812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45812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45812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45812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45812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45812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45812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45812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45812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45812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45812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45812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45812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45812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45812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45812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45812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45812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45812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45812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45812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45812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45812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45812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45812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45812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45812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45812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45812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45812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45812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45812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45812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45812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45812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45812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45812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45812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45812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45812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45812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45812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45812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45812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45812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45812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45812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45812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45812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45812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45812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45812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45812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45812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45812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45812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45812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45812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45812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45812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45812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45812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45812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45812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45812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45812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45812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45812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45812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45812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45812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45812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45812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45812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45812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45812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45812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45812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45812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45812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45812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45812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45812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45812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45812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45812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45812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45812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45812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45812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45812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45812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45812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45812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45812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45812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45812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45812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45812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45812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45812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45812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45812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45812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45812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45812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45812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45812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45812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45812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45812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45812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45812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45812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45812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45812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45812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45812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45812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45812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45812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45812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45812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45812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45812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45812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45812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45812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45812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45812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45812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45812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45812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45812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45812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45812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45812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45812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45812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45812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45812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45812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45812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45812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45812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45812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45812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45812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45812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45812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45812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45812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45812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45812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45812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45812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45812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45812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45812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45812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45812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45812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45812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45812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45812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45812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45812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45812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45812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45812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45812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45812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45812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45812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45812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45812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45812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45812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45812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45812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45812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45812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45812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45812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45812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45812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45812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45812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45812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45812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45812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45812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45812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45812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45812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45812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45812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45812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45812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45812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45812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45812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45812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45812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45812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45812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45812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45812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45812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45812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45812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45812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45812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45812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45812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45812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45812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45812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45812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45812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45812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45812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45812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45812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45812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45812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45812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45812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45812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45812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45812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45812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45812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45812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45812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45812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45812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45812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45812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45812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45812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45812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45812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45812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45812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45812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45812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45812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45812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45812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45812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45812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45812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45812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45812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45812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45812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45812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45812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45812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45812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45812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45812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45812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45812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45812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45812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45812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45812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45812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45812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45812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45812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45812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45812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45812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45812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45812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45812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45812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45812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45812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45812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45812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45812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45812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45812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45812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45812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45812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45812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45812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45812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45812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45812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45812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45812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45812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45812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45812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45812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45812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45812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45812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45812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45812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45812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45812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45812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45812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45812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45812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45812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45812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45812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45812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45812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45812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45812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45812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45812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45812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45812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45812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45812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45812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45812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45812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45812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45812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45812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45812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45812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45812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45812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45812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45812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45812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45812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45812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45812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45812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45812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45812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45812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45812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45812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45812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45812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45812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45812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45812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45812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45812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45812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45812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45812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45812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45812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45812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45812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45812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45812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45812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45812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45812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45812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45812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45812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45812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45812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45812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45812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45812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45812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45812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45812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45812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45812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45812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45812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45812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45812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45812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45812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45812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45812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45812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45812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45812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45812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45812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45812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45812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45812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45812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45812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45812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45812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45812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45812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45812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45812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45812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45812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45812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45812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45812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45812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45812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45812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45812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45812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45812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45812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45812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45812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45812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45812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45812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45812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45812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45812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45812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45812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45812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45812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45812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45812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45812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45812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45812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45812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45812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45812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45812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45812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45812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45812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45812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45812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45812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45812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45812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45812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45812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45812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45812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45812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45812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45812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45812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45812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45812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45812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45812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45812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45812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45812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45812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45812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45812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45812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45812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45812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45812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45812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45812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45812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45812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45812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45812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45812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45812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45812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45812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45812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45812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45812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45812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45812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45812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45812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45812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45812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45812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45812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45812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45812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45812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45812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45812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45812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45812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45812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45812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45812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45812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45812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45812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45812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45812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45812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45812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45812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45812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45812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45812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45812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45812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45812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45812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45812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45812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45812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45812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45812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45812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45812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45812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45812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45812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45812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45812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45812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45812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45812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45812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45812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45812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45812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45812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45812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45812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45812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45812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45812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45812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45812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45812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45812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45812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45812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45812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45812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45812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45812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45812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45812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45812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45812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45812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45812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45812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45812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45812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45812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45812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45812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45812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45812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45812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45812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45812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45812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45812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45812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45812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45812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45812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45812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45812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45812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45812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45812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45812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45812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45812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45812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45812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45812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45812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45812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45812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45812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45812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45812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45812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45812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45812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45812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45812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45812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45812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45812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45812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45812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45812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45812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45812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45812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45812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45812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45812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45812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45812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45812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45812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45812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45812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45812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45812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45812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45812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45812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45812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45812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45812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45812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45812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45812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45812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45812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45812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45812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45812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45812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45812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45812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45812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45812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45812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45812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45812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45812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45812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45812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45812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45812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45812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45812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45812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45812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45812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45812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45812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45812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45812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45812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45812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45812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45812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45812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45812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45812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45812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45812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45812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25202-2025</t>
        </is>
      </c>
      <c r="B1621" s="1" t="n">
        <v>45800</v>
      </c>
      <c r="C1621" s="1" t="n">
        <v>45812</v>
      </c>
      <c r="D1621" t="inlineStr">
        <is>
          <t>KALMAR LÄN</t>
        </is>
      </c>
      <c r="E1621" t="inlineStr">
        <is>
          <t>HULTSFRED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45812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45812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45812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45812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45812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26700-2025</t>
        </is>
      </c>
      <c r="B1627" s="1" t="n">
        <v>45810</v>
      </c>
      <c r="C1627" s="1" t="n">
        <v>45812</v>
      </c>
      <c r="D1627" t="inlineStr">
        <is>
          <t>KALMAR LÄN</t>
        </is>
      </c>
      <c r="E1627" t="inlineStr">
        <is>
          <t>HULTSFRED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45812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26706-2025</t>
        </is>
      </c>
      <c r="B1629" s="1" t="n">
        <v>45810</v>
      </c>
      <c r="C1629" s="1" t="n">
        <v>45812</v>
      </c>
      <c r="D1629" t="inlineStr">
        <is>
          <t>KALMAR LÄN</t>
        </is>
      </c>
      <c r="E1629" t="inlineStr">
        <is>
          <t>HULTSFRED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26710-2025</t>
        </is>
      </c>
      <c r="B1630" s="1" t="n">
        <v>45810</v>
      </c>
      <c r="C1630" s="1" t="n">
        <v>45812</v>
      </c>
      <c r="D1630" t="inlineStr">
        <is>
          <t>KALMAR LÄN</t>
        </is>
      </c>
      <c r="E1630" t="inlineStr">
        <is>
          <t>HULTSFRED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2025-06-04T18:18:17Z</dcterms:created>
  <dcterms:modified xmlns:dcterms="http://purl.org/dc/terms/" xmlns:xsi="http://www.w3.org/2001/XMLSchema-instance" xsi:type="dcterms:W3CDTF">2025-06-04T18:18:18Z</dcterms:modified>
</cp:coreProperties>
</file>