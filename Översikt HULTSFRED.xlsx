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45587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45587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45587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45587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45587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45587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45587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45587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45587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45587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45587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45587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45587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45587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45587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45587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45587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45587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45587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45587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45587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45587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45587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45587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45587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45587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45587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45587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45587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45587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45587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45587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45587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45587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45587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45587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45587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45587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45587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45587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45587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45587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45587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45587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45587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45587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45587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45587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45587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45587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45587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45587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45587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45587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45587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45587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45587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45587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45587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45587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45587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45587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45587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45587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45587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45587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45587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45587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45587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45587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45587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45587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45587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45587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45587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45587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45587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45587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45587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45587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45587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45587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45587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45587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45587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45587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45587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45587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45587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45587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45587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42740-2024</t>
        </is>
      </c>
      <c r="B102" s="1" t="n">
        <v>45566</v>
      </c>
      <c r="C102" s="1" t="n">
        <v>45587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HYPERLINK("https://klasma.github.io/Logging_0860/artfynd/A 42740-2024 artfynd.xlsx", "A 42740-2024")</f>
        <v/>
      </c>
      <c r="T102">
        <f>HYPERLINK("https://klasma.github.io/Logging_0860/kartor/A 42740-2024 karta.png", "A 42740-2024")</f>
        <v/>
      </c>
      <c r="V102">
        <f>HYPERLINK("https://klasma.github.io/Logging_0860/klagomål/A 42740-2024 FSC-klagomål.docx", "A 42740-2024")</f>
        <v/>
      </c>
      <c r="W102">
        <f>HYPERLINK("https://klasma.github.io/Logging_0860/klagomålsmail/A 42740-2024 FSC-klagomål mail.docx", "A 42740-2024")</f>
        <v/>
      </c>
      <c r="X102">
        <f>HYPERLINK("https://klasma.github.io/Logging_0860/tillsyn/A 42740-2024 tillsynsbegäran.docx", "A 42740-2024")</f>
        <v/>
      </c>
      <c r="Y102">
        <f>HYPERLINK("https://klasma.github.io/Logging_0860/tillsynsmail/A 42740-2024 tillsynsbegäran mail.docx", "A 42740-2024")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45587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45587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45587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45587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45587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45587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45587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45587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45587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45587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45587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45587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45587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45587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45587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45587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45587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45587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45587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45587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45587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45587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45587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45587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45587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45587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45587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45587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45587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45587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45587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45587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45587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45587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45587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45587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45587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45587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45587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45587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45587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45587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45587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45587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45587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45587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45587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45587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45587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45587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45587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45587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45587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45587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45587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45587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45587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45587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45587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45587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45587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45587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45587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45587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45587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45587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45587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45587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45587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45587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45587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45587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45587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45587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45587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45587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45587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45587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45587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45587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45587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45587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45587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45587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45587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45587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45587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45587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45587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45587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45587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45587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45587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45587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45587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45587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45587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45587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45587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45587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45587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45587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45587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45587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45587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45587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45587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45587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45587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45587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45587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45587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45587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45587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45587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45587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45587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45587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45587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45587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45587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45587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45587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45587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45587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45587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45587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45587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45587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45587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45587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45587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45587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45587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45587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45587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45587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45587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45587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45587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45587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45587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45587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45587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45587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45587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45587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45587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45587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45587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45587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45587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45587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45587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45587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45587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45587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45587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45587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45587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45587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45587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45587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45587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45587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45587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45587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45587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45587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45587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45587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45587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45587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45587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45587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45587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45587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45587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45587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45587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45587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45587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45587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45587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45587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45587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45587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45587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45587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45587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45587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45587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45587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45587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45587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45587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45587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45587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45587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45587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45587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45587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45587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45587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45587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45587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45587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45587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45587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45587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45587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45587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45587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45587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45587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45587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45587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45587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45587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45587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45587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45587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45587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45587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45587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45587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45587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45587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45587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45587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45587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45587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45587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45587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45587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45587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45587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45587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45587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45587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45587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45587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45587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45587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45587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45587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45587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45587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45587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45587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45587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45587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45587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45587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45587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45587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45587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45587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45587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45587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45587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45587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45587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45587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45587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45587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45587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45587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45587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45587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45587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45587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45587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45587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45587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45587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45587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45587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45587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45587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45587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45587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45587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45587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45587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45587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45587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45587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45587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45587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45587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45587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45587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45587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45587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45587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45587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45587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45587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45587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45587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45587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45587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45587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45587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45587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45587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45587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45587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45587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45587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45587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45587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45587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45587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45587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45587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45587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45587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45587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45587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45587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45587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45587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45587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45587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45587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45587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45587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45587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45587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45587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45587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45587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45587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45587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45587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45587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45587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45587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45587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45587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45587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45587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45587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45587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45587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45587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45587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45587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45587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45587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45587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45587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45587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45587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45587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45587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45587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45587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45587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45587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45587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45587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45587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45587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45587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45587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45587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45587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45587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45587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45587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45587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45587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45587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45587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45587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45587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45587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45587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45587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45587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45587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45587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45587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45587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45587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45587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45587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45587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45587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45587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45587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45587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45587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45587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45587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45587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45587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45587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45587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45587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45587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45587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45587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45587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45587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45587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45587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45587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45587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45587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45587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45587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45587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45587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45587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45587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45587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45587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45587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45587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45587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45587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45587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45587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45587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45587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45587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45587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45587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45587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45587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45587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45587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45587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45587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45587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45587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45587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45587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45587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45587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45587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45587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45587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45587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45587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45587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45587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45587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45587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45587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45587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45587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45587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45587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45587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45587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45587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45587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45587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45587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45587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45587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45587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45587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45587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45587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45587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45587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45587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45587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45587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45587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45587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45587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45587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45587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45587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45587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45587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45587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45587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45587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45587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45587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45587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45587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45587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45587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45587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45587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45587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45587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45587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45587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45587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45587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45587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45587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45587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45587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45587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45587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45587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45587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45587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45587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45587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45587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45587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45587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45587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45587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45587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45587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45587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45587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45587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45587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45587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45587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45587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45587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45587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45587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45587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45587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45587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45587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45587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45587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45587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45587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45587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45587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45587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45587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45587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45587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45587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45587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45587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45587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45587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45587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45587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45587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45587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45587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45587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45587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45587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45587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45587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45587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45587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45587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45587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45587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45587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45587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45587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45587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45587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45587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45587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45587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45587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45587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45587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45587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45587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45587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45587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45587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45587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45587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45587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45587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45587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45587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45587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45587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45587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45587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45587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45587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45587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45587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45587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45587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45587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45587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45587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45587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45587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45587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45587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45587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45587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45587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45587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45587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45587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45587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45587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45587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45587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45587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45587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45587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45587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45587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45587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45587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45587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45587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45587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45587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45587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45587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45587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45587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45587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45587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45587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45587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45587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45587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45587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45587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45587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45587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45587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45587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45587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45587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45587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45587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45587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45587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45587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45587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45587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45587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45587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45587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45587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45587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45587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45587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45587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45587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45587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45587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45587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45587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45587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45587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45587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45587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45587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45587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45587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45587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45587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45587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45587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45587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45587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45587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45587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45587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45587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45587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45587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45587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45587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45587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45587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45587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45587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45587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45587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45587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45587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45587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45587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45587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45587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45587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45587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45587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45587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45587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45587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45587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45587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45587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45587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45587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45587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45587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45587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45587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45587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45587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45587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45587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45587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45587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45587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45587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45587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45587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45587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45587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45587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45587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45587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45587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45587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45587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45587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45587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45587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45587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45587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45587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45587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45587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45587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45587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45587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45587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45587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45587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45587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45587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45587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45587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45587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45587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45587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45587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45587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45587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45587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45587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45587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45587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45587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45587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45587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45587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45587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45587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45587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45587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45587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45587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45587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45587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45587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45587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45587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45587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45587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45587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45587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45587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45587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45587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45587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45587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45587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45587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45587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45587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45587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45587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45587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45587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45587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45587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45587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45587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45587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45587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45587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45587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45587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45587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45587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45587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45587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45587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45587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45587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45587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45587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45587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45587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45587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45587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45587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45587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45587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45587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45587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45587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45587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45587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45587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45587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45587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45587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45587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45587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45587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45587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45587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45587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45587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45587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45587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45587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45587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45587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45587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45587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45587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45587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45587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45587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45587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45587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45587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45587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45587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45587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45587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45587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45587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45587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45587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45587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45587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45587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45587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45587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45587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45587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45587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45587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45587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45587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45587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45587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45587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45587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45587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45587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45587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45587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45587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45587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45587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45587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45587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45587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45587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45587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45587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45587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45587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45587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45587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45587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45587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45587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45587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45587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45587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45587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45587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45587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45587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45587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45587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45587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45587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45587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45587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45587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45587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45587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45587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45587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45587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45587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45587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45587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45587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45587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45587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45587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45587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45587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45587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45587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45587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45587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45587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45587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45587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45587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45587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45587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45587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45587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45587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45587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45587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45587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45587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45587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45587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45587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45587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45587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45587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45587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45587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45587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45587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45587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45587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45587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45587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45587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45587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45587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45587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45587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45587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45587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45587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45587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45587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45587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45587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45587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45587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45587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45587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45587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45587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45587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45587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45587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45587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45587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45587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45587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45587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45587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45587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45587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45587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45587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45587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45587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45587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45587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45587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45587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45587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45587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45587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45587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45587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45587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45587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45587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45587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45587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45587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45587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45587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45587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45587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45587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45587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45587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45587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45587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45587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45587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45587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45587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45587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45587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45587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45587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45587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45587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45587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45587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45587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45587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45587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45587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45587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45587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45587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45587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45587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45587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45587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45587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45587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45587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45587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45587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45587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45587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45587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45587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45587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45587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45587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45587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45587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45587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45587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45587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45587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45587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45587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45587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45587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45587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45587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45587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45587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45587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45587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45587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45587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45587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45587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45587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45587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45587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45587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45587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45587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45587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45587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45587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45587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45587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45587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45587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45587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45587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45587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45587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45587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45587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45587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45587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45587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45587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45587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45587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45587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45587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45587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45587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45587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45587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45587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45587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45587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45587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45587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45587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45587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45587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45587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45587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45587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45587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45587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45587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45587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45587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45587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45587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45587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45587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45587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45587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45587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45587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45587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45587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45587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45587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45587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45587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45587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45587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45587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45587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45587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45587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45587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45587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45587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45587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45587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45587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45587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45587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45587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45587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45587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45587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45587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45587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45587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45587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45587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45587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45587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45587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45587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45587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45587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45587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45587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45587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45587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45587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45587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45587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45587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45587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45587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45587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45587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45587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45587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45587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45587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45587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45587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45587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45587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45587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45587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45587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45587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45587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45587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45587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45587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45587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45587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45587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45587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45587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45587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45587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45587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45587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45587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45587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45587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45587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45587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45587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45587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45587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45587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45587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45587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45587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45587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45587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45587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45587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45587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45587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45587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45587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45587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45587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45587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45587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45587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45587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45587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45587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45587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45587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45587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45587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45587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45587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45587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45587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45587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45587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45587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45587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45587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45587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45587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42351-2024</t>
        </is>
      </c>
      <c r="B1333" s="1" t="n">
        <v>45562</v>
      </c>
      <c r="C1333" s="1" t="n">
        <v>45587</v>
      </c>
      <c r="D1333" t="inlineStr">
        <is>
          <t>KALMAR LÄN</t>
        </is>
      </c>
      <c r="E1333" t="inlineStr">
        <is>
          <t>HULTSFRED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42344-2024</t>
        </is>
      </c>
      <c r="B1334" s="1" t="n">
        <v>45562</v>
      </c>
      <c r="C1334" s="1" t="n">
        <v>45587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42352-2024</t>
        </is>
      </c>
      <c r="B1335" s="1" t="n">
        <v>45562</v>
      </c>
      <c r="C1335" s="1" t="n">
        <v>45587</v>
      </c>
      <c r="D1335" t="inlineStr">
        <is>
          <t>KALMAR LÄN</t>
        </is>
      </c>
      <c r="E1335" t="inlineStr">
        <is>
          <t>HULTSFRED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42354-2024</t>
        </is>
      </c>
      <c r="B1336" s="1" t="n">
        <v>45562</v>
      </c>
      <c r="C1336" s="1" t="n">
        <v>45587</v>
      </c>
      <c r="D1336" t="inlineStr">
        <is>
          <t>KALMAR LÄN</t>
        </is>
      </c>
      <c r="E1336" t="inlineStr">
        <is>
          <t>HULTSFRED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42353-2024</t>
        </is>
      </c>
      <c r="B1337" s="1" t="n">
        <v>45562</v>
      </c>
      <c r="C1337" s="1" t="n">
        <v>45587</v>
      </c>
      <c r="D1337" t="inlineStr">
        <is>
          <t>KALMAR LÄN</t>
        </is>
      </c>
      <c r="E1337" t="inlineStr">
        <is>
          <t>HULTSFRED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45587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42501-2024</t>
        </is>
      </c>
      <c r="B1339" s="1" t="n">
        <v>45565</v>
      </c>
      <c r="C1339" s="1" t="n">
        <v>45587</v>
      </c>
      <c r="D1339" t="inlineStr">
        <is>
          <t>KALMAR LÄN</t>
        </is>
      </c>
      <c r="E1339" t="inlineStr">
        <is>
          <t>HULTSFRED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42407-2024</t>
        </is>
      </c>
      <c r="B1340" s="1" t="n">
        <v>45565</v>
      </c>
      <c r="C1340" s="1" t="n">
        <v>45587</v>
      </c>
      <c r="D1340" t="inlineStr">
        <is>
          <t>KALMAR LÄN</t>
        </is>
      </c>
      <c r="E1340" t="inlineStr">
        <is>
          <t>HULTSFRED</t>
        </is>
      </c>
      <c r="F1340" t="inlineStr">
        <is>
          <t>Kyrkan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42743-2024</t>
        </is>
      </c>
      <c r="B1341" s="1" t="n">
        <v>45566</v>
      </c>
      <c r="C1341" s="1" t="n">
        <v>45587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42747-2024</t>
        </is>
      </c>
      <c r="B1342" s="1" t="n">
        <v>45566</v>
      </c>
      <c r="C1342" s="1" t="n">
        <v>45587</v>
      </c>
      <c r="D1342" t="inlineStr">
        <is>
          <t>KALMAR LÄN</t>
        </is>
      </c>
      <c r="E1342" t="inlineStr">
        <is>
          <t>HULTSFRED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42762-2024</t>
        </is>
      </c>
      <c r="B1343" s="1" t="n">
        <v>45566</v>
      </c>
      <c r="C1343" s="1" t="n">
        <v>45587</v>
      </c>
      <c r="D1343" t="inlineStr">
        <is>
          <t>KALMAR LÄN</t>
        </is>
      </c>
      <c r="E1343" t="inlineStr">
        <is>
          <t>HULTSFRED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42770-2024</t>
        </is>
      </c>
      <c r="B1344" s="1" t="n">
        <v>45566</v>
      </c>
      <c r="C1344" s="1" t="n">
        <v>45587</v>
      </c>
      <c r="D1344" t="inlineStr">
        <is>
          <t>KALMAR LÄN</t>
        </is>
      </c>
      <c r="E1344" t="inlineStr">
        <is>
          <t>HULTSFRED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45587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45587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42749-2024</t>
        </is>
      </c>
      <c r="B1347" s="1" t="n">
        <v>45566</v>
      </c>
      <c r="C1347" s="1" t="n">
        <v>45587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42767-2024</t>
        </is>
      </c>
      <c r="B1348" s="1" t="n">
        <v>45566</v>
      </c>
      <c r="C1348" s="1" t="n">
        <v>45587</v>
      </c>
      <c r="D1348" t="inlineStr">
        <is>
          <t>KALMAR LÄN</t>
        </is>
      </c>
      <c r="E1348" t="inlineStr">
        <is>
          <t>HULTSFRED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45587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45587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45587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45587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45587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45587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44256-2024</t>
        </is>
      </c>
      <c r="B1355" s="1" t="n">
        <v>45573</v>
      </c>
      <c r="C1355" s="1" t="n">
        <v>45587</v>
      </c>
      <c r="D1355" t="inlineStr">
        <is>
          <t>KALMAR LÄN</t>
        </is>
      </c>
      <c r="E1355" t="inlineStr">
        <is>
          <t>HULTSFRED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45587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44188-2024</t>
        </is>
      </c>
      <c r="B1357" s="1" t="n">
        <v>45573</v>
      </c>
      <c r="C1357" s="1" t="n">
        <v>45587</v>
      </c>
      <c r="D1357" t="inlineStr">
        <is>
          <t>KALMAR LÄN</t>
        </is>
      </c>
      <c r="E1357" t="inlineStr">
        <is>
          <t>HULTSFRED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44257-2024</t>
        </is>
      </c>
      <c r="B1358" s="1" t="n">
        <v>45573</v>
      </c>
      <c r="C1358" s="1" t="n">
        <v>45587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45031-2024</t>
        </is>
      </c>
      <c r="B1359" s="1" t="n">
        <v>45575</v>
      </c>
      <c r="C1359" s="1" t="n">
        <v>45587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45033-2024</t>
        </is>
      </c>
      <c r="B1360" s="1" t="n">
        <v>45575</v>
      </c>
      <c r="C1360" s="1" t="n">
        <v>45587</v>
      </c>
      <c r="D1360" t="inlineStr">
        <is>
          <t>KALMAR LÄN</t>
        </is>
      </c>
      <c r="E1360" t="inlineStr">
        <is>
          <t>HULTSFRED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45032-2024</t>
        </is>
      </c>
      <c r="B1361" s="1" t="n">
        <v>45575</v>
      </c>
      <c r="C1361" s="1" t="n">
        <v>45587</v>
      </c>
      <c r="D1361" t="inlineStr">
        <is>
          <t>KALMAR LÄN</t>
        </is>
      </c>
      <c r="E1361" t="inlineStr">
        <is>
          <t>HULTSFRED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46029-2024</t>
        </is>
      </c>
      <c r="B1362" s="1" t="n">
        <v>45580</v>
      </c>
      <c r="C1362" s="1" t="n">
        <v>45587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46541-2024</t>
        </is>
      </c>
      <c r="B1363" s="1" t="n">
        <v>45582</v>
      </c>
      <c r="C1363" s="1" t="n">
        <v>45587</v>
      </c>
      <c r="D1363" t="inlineStr">
        <is>
          <t>KALMAR LÄN</t>
        </is>
      </c>
      <c r="E1363" t="inlineStr">
        <is>
          <t>HULTSFRED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46476-2024</t>
        </is>
      </c>
      <c r="B1364" s="1" t="n">
        <v>45582</v>
      </c>
      <c r="C1364" s="1" t="n">
        <v>45587</v>
      </c>
      <c r="D1364" t="inlineStr">
        <is>
          <t>KALMAR LÄN</t>
        </is>
      </c>
      <c r="E1364" t="inlineStr">
        <is>
          <t>HULTSFRED</t>
        </is>
      </c>
      <c r="F1364" t="inlineStr">
        <is>
          <t>Sveaskog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46935-2024</t>
        </is>
      </c>
      <c r="B1365" s="1" t="n">
        <v>45585</v>
      </c>
      <c r="C1365" s="1" t="n">
        <v>45587</v>
      </c>
      <c r="D1365" t="inlineStr">
        <is>
          <t>KALMAR LÄN</t>
        </is>
      </c>
      <c r="E1365" t="inlineStr">
        <is>
          <t>HULTSFRED</t>
        </is>
      </c>
      <c r="F1365" t="inlineStr">
        <is>
          <t>Sveaskog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46933-2024</t>
        </is>
      </c>
      <c r="B1366" s="1" t="n">
        <v>45585</v>
      </c>
      <c r="C1366" s="1" t="n">
        <v>45587</v>
      </c>
      <c r="D1366" t="inlineStr">
        <is>
          <t>KALMAR LÄN</t>
        </is>
      </c>
      <c r="E1366" t="inlineStr">
        <is>
          <t>HULTSFRED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47077-2024</t>
        </is>
      </c>
      <c r="B1367" s="1" t="n">
        <v>45586</v>
      </c>
      <c r="C1367" s="1" t="n">
        <v>45587</v>
      </c>
      <c r="D1367" t="inlineStr">
        <is>
          <t>KALMAR LÄN</t>
        </is>
      </c>
      <c r="E1367" t="inlineStr">
        <is>
          <t>HULTSFRED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2024-10-22T13:06:04Z</dcterms:created>
  <dcterms:modified xmlns:dcterms="http://purl.org/dc/terms/" xmlns:xsi="http://www.w3.org/2001/XMLSchema-instance" xsi:type="dcterms:W3CDTF">2024-10-22T13:06:05Z</dcterms:modified>
</cp:coreProperties>
</file>